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96355\Documents\R7\10　事務提出書類\ETC\"/>
    </mc:Choice>
  </mc:AlternateContent>
  <xr:revisionPtr revIDLastSave="0" documentId="13_ncr:1_{112D9E2C-22F1-4AD5-A83F-FB4F5962B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利用実績簿" sheetId="35" r:id="rId1"/>
    <sheet name="利用実績簿（コメント入り）" sheetId="34" r:id="rId2"/>
  </sheets>
  <definedNames>
    <definedName name="_xlnm.Print_Area" localSheetId="0">利用実績簿!$A$1:$R$46</definedName>
    <definedName name="_xlnm.Print_Area" localSheetId="1">'利用実績簿（コメント入り）'!$A$1:$R$46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35" l="1"/>
  <c r="E56" i="35"/>
  <c r="E57" i="35" s="1"/>
  <c r="P29" i="35"/>
  <c r="O29" i="35"/>
  <c r="M29" i="35"/>
  <c r="L29" i="35"/>
  <c r="Q28" i="35"/>
  <c r="N28" i="35"/>
  <c r="Q27" i="35"/>
  <c r="N27" i="35"/>
  <c r="I27" i="35"/>
  <c r="Q26" i="35"/>
  <c r="N26" i="35"/>
  <c r="I26" i="35"/>
  <c r="F26" i="35"/>
  <c r="Q25" i="35"/>
  <c r="N25" i="35"/>
  <c r="I25" i="35"/>
  <c r="F25" i="35"/>
  <c r="Q24" i="35"/>
  <c r="N24" i="35"/>
  <c r="I24" i="35"/>
  <c r="F24" i="35"/>
  <c r="Q23" i="35"/>
  <c r="N23" i="35"/>
  <c r="I23" i="35"/>
  <c r="F23" i="35"/>
  <c r="Q22" i="35"/>
  <c r="N22" i="35"/>
  <c r="I22" i="35"/>
  <c r="F22" i="35"/>
  <c r="Q21" i="35"/>
  <c r="N21" i="35"/>
  <c r="I21" i="35"/>
  <c r="F21" i="35"/>
  <c r="Q20" i="35"/>
  <c r="N20" i="35"/>
  <c r="I20" i="35"/>
  <c r="F20" i="35"/>
  <c r="Q19" i="35"/>
  <c r="N19" i="35"/>
  <c r="I19" i="35"/>
  <c r="F19" i="35"/>
  <c r="Q18" i="35"/>
  <c r="N18" i="35"/>
  <c r="I18" i="35"/>
  <c r="F18" i="35"/>
  <c r="Q17" i="35"/>
  <c r="N17" i="35"/>
  <c r="I17" i="35"/>
  <c r="F17" i="35"/>
  <c r="Q16" i="35"/>
  <c r="N16" i="35"/>
  <c r="I16" i="35"/>
  <c r="F16" i="35"/>
  <c r="Q15" i="35"/>
  <c r="N15" i="35"/>
  <c r="I15" i="35"/>
  <c r="F15" i="35"/>
  <c r="Q14" i="35"/>
  <c r="N14" i="35"/>
  <c r="I14" i="35"/>
  <c r="F14" i="35"/>
  <c r="Q13" i="35"/>
  <c r="N13" i="35"/>
  <c r="I13" i="35"/>
  <c r="F13" i="35"/>
  <c r="M7" i="35"/>
  <c r="B13" i="35" l="1"/>
  <c r="C13" i="35" s="1"/>
  <c r="E33" i="35"/>
  <c r="E34" i="35" s="1"/>
  <c r="B33" i="35"/>
  <c r="J33" i="35" s="1"/>
  <c r="O33" i="35"/>
  <c r="O34" i="35" s="1"/>
  <c r="B14" i="35"/>
  <c r="C14" i="35" s="1"/>
  <c r="P29" i="34"/>
  <c r="M29" i="34"/>
  <c r="L29" i="34"/>
  <c r="M7" i="34"/>
  <c r="E56" i="34"/>
  <c r="B13" i="34" s="1"/>
  <c r="Q28" i="34"/>
  <c r="N28" i="34"/>
  <c r="Q27" i="34"/>
  <c r="N27" i="34"/>
  <c r="I27" i="34"/>
  <c r="F27" i="34"/>
  <c r="Q26" i="34"/>
  <c r="N26" i="34"/>
  <c r="I26" i="34"/>
  <c r="F26" i="34"/>
  <c r="Q25" i="34"/>
  <c r="N25" i="34"/>
  <c r="I25" i="34"/>
  <c r="F25" i="34"/>
  <c r="Q24" i="34"/>
  <c r="N24" i="34"/>
  <c r="I24" i="34"/>
  <c r="F24" i="34"/>
  <c r="Q23" i="34"/>
  <c r="N23" i="34"/>
  <c r="I23" i="34"/>
  <c r="F23" i="34"/>
  <c r="Q22" i="34"/>
  <c r="N22" i="34"/>
  <c r="I22" i="34"/>
  <c r="F22" i="34"/>
  <c r="Q21" i="34"/>
  <c r="N21" i="34"/>
  <c r="I21" i="34"/>
  <c r="F21" i="34"/>
  <c r="Q20" i="34"/>
  <c r="N20" i="34"/>
  <c r="I20" i="34"/>
  <c r="F20" i="34"/>
  <c r="Q19" i="34"/>
  <c r="N19" i="34"/>
  <c r="I19" i="34"/>
  <c r="F19" i="34"/>
  <c r="Q18" i="34"/>
  <c r="N18" i="34"/>
  <c r="I18" i="34"/>
  <c r="F18" i="34"/>
  <c r="Q17" i="34"/>
  <c r="N17" i="34"/>
  <c r="I17" i="34"/>
  <c r="F17" i="34"/>
  <c r="Q16" i="34"/>
  <c r="N16" i="34"/>
  <c r="I16" i="34"/>
  <c r="F16" i="34"/>
  <c r="Q15" i="34"/>
  <c r="N15" i="34"/>
  <c r="I15" i="34"/>
  <c r="F15" i="34"/>
  <c r="Q14" i="34"/>
  <c r="O29" i="34" s="1"/>
  <c r="N14" i="34"/>
  <c r="I14" i="34"/>
  <c r="F14" i="34"/>
  <c r="Q13" i="34"/>
  <c r="N13" i="34"/>
  <c r="I13" i="34"/>
  <c r="F13" i="34"/>
  <c r="B15" i="35" l="1"/>
  <c r="C15" i="35" s="1"/>
  <c r="B33" i="34"/>
  <c r="E33" i="34"/>
  <c r="E34" i="34" s="1"/>
  <c r="E57" i="34"/>
  <c r="B14" i="34" s="1"/>
  <c r="C13" i="34"/>
  <c r="B16" i="35" l="1"/>
  <c r="C16" i="35" s="1"/>
  <c r="J33" i="34"/>
  <c r="O33" i="34"/>
  <c r="O34" i="34" s="1"/>
  <c r="C14" i="34"/>
  <c r="B15" i="34"/>
  <c r="B17" i="35" l="1"/>
  <c r="C17" i="35" s="1"/>
  <c r="C15" i="34"/>
  <c r="B16" i="34"/>
  <c r="B18" i="35" l="1"/>
  <c r="C18" i="35" s="1"/>
  <c r="C16" i="34"/>
  <c r="B17" i="34"/>
  <c r="B19" i="35" l="1"/>
  <c r="C19" i="35" s="1"/>
  <c r="C17" i="34"/>
  <c r="B18" i="34"/>
  <c r="B20" i="35" l="1"/>
  <c r="C20" i="35" s="1"/>
  <c r="C18" i="34"/>
  <c r="B19" i="34"/>
  <c r="B21" i="35" l="1"/>
  <c r="C21" i="35" s="1"/>
  <c r="C19" i="34"/>
  <c r="B20" i="34"/>
  <c r="B22" i="35" l="1"/>
  <c r="C22" i="35" s="1"/>
  <c r="C20" i="34"/>
  <c r="B21" i="34"/>
  <c r="B23" i="35" l="1"/>
  <c r="C23" i="35" s="1"/>
  <c r="C21" i="34"/>
  <c r="B22" i="34"/>
  <c r="B24" i="35" l="1"/>
  <c r="C24" i="35" s="1"/>
  <c r="C22" i="34"/>
  <c r="B23" i="34"/>
  <c r="B25" i="35" l="1"/>
  <c r="C25" i="35" s="1"/>
  <c r="C23" i="34"/>
  <c r="B24" i="34"/>
  <c r="B26" i="35" l="1"/>
  <c r="C26" i="35" s="1"/>
  <c r="C24" i="34"/>
  <c r="B25" i="34"/>
  <c r="B27" i="35" l="1"/>
  <c r="C27" i="35" s="1"/>
  <c r="C25" i="34"/>
  <c r="B26" i="34"/>
  <c r="J13" i="35" l="1"/>
  <c r="C26" i="34"/>
  <c r="B27" i="34"/>
  <c r="K13" i="35" l="1"/>
  <c r="J14" i="35"/>
  <c r="C27" i="34"/>
  <c r="J13" i="34"/>
  <c r="K14" i="35" l="1"/>
  <c r="J15" i="35"/>
  <c r="K13" i="34"/>
  <c r="J14" i="34"/>
  <c r="K15" i="35" l="1"/>
  <c r="J16" i="35"/>
  <c r="K14" i="34"/>
  <c r="J15" i="34"/>
  <c r="K16" i="35" l="1"/>
  <c r="J17" i="35"/>
  <c r="K15" i="34"/>
  <c r="J16" i="34"/>
  <c r="K17" i="35" l="1"/>
  <c r="J18" i="35"/>
  <c r="K16" i="34"/>
  <c r="J17" i="34"/>
  <c r="K18" i="35" l="1"/>
  <c r="J19" i="35"/>
  <c r="K17" i="34"/>
  <c r="J18" i="34"/>
  <c r="K19" i="35" l="1"/>
  <c r="J20" i="35"/>
  <c r="K18" i="34"/>
  <c r="J19" i="34"/>
  <c r="K20" i="35" l="1"/>
  <c r="J21" i="35"/>
  <c r="K19" i="34"/>
  <c r="J20" i="34"/>
  <c r="K21" i="35" l="1"/>
  <c r="J22" i="35"/>
  <c r="K20" i="34"/>
  <c r="J21" i="34"/>
  <c r="K22" i="35" l="1"/>
  <c r="J23" i="35"/>
  <c r="K21" i="34"/>
  <c r="J22" i="34"/>
  <c r="K23" i="35" l="1"/>
  <c r="J24" i="35"/>
  <c r="K22" i="34"/>
  <c r="J23" i="34"/>
  <c r="K24" i="35" l="1"/>
  <c r="J25" i="35"/>
  <c r="K23" i="34"/>
  <c r="J24" i="34"/>
  <c r="K25" i="35" l="1"/>
  <c r="J26" i="35"/>
  <c r="K24" i="34"/>
  <c r="J25" i="34"/>
  <c r="K26" i="35" l="1"/>
  <c r="J27" i="35"/>
  <c r="K25" i="34"/>
  <c r="J26" i="34"/>
  <c r="K27" i="35" l="1"/>
  <c r="J28" i="35"/>
  <c r="K28" i="35" s="1"/>
  <c r="K26" i="34"/>
  <c r="J27" i="34"/>
  <c r="J28" i="34" l="1"/>
  <c r="K28" i="34" s="1"/>
  <c r="K2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oitapref</author>
  </authors>
  <commentList>
    <comment ref="D12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「利用確認」欄に○が一つもない場合は「支給される特別料金等の額」欄が0円になります。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12" authorId="0" shapeId="0" xr:uid="{00000000-0006-0000-0100-000002000000}">
      <text>
        <r>
          <rPr>
            <b/>
            <sz val="9"/>
            <color indexed="81"/>
            <rFont val="MS P ゴシック"/>
            <family val="3"/>
            <charset val="128"/>
          </rPr>
          <t>・「利用金額」欄には片道料金（割引前）より大きい金額は入力しないでください。
（「確認」欄に×が表示されます。×が出た場合には見直しをしてください）
・割引やマイレージ還元を反映した最終的な利用金額を入力してください。</t>
        </r>
      </text>
    </comment>
    <comment ref="E32" authorId="0" shapeId="0" xr:uid="{00000000-0006-0000-0100-000003000000}">
      <text>
        <r>
          <rPr>
            <b/>
            <sz val="9"/>
            <color indexed="81"/>
            <rFont val="MS P ゴシック"/>
            <family val="3"/>
            <charset val="128"/>
          </rPr>
          <t>特別料金等加算額よりも大きい場合、「要確認」と表示されます。
必ずしも間違いではありませんが、
一度ご確認ください。</t>
        </r>
      </text>
    </comment>
    <comment ref="J32" authorId="0" shapeId="0" xr:uid="{00000000-0006-0000-0100-000004000000}">
      <text>
        <r>
          <rPr>
            <b/>
            <sz val="9"/>
            <color indexed="81"/>
            <rFont val="MS P ゴシック"/>
            <family val="3"/>
            <charset val="128"/>
          </rPr>
          <t>「実際に支給される特別料金等の額」欄は「１ヶ月の特別料金等加算額」を
超えた場合、赤く表示されます。
必ずしも間違いではありませんが、一度ご確認ください。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<sst xmlns="http://schemas.openxmlformats.org/spreadsheetml/2006/main" count="168" uniqueCount="51">
  <si>
    <t>所　　属</t>
    <rPh sb="0" eb="1">
      <t>トコロ</t>
    </rPh>
    <rPh sb="3" eb="4">
      <t>ゾク</t>
    </rPh>
    <phoneticPr fontId="19"/>
  </si>
  <si>
    <t>職</t>
    <rPh sb="0" eb="1">
      <t>ショク</t>
    </rPh>
    <phoneticPr fontId="19"/>
  </si>
  <si>
    <t>氏名</t>
    <rPh sb="0" eb="2">
      <t>シメイ</t>
    </rPh>
    <phoneticPr fontId="19"/>
  </si>
  <si>
    <t>年</t>
    <rPh sb="0" eb="1">
      <t>ネン</t>
    </rPh>
    <phoneticPr fontId="19"/>
  </si>
  <si>
    <t>月分</t>
    <rPh sb="0" eb="1">
      <t>ガツ</t>
    </rPh>
    <rPh sb="1" eb="2">
      <t>ブン</t>
    </rPh>
    <phoneticPr fontId="19"/>
  </si>
  <si>
    <t>高速道路利用区間</t>
    <rPh sb="0" eb="2">
      <t>コウソク</t>
    </rPh>
    <rPh sb="2" eb="4">
      <t>ドウロ</t>
    </rPh>
    <rPh sb="4" eb="6">
      <t>リヨウ</t>
    </rPh>
    <rPh sb="6" eb="8">
      <t>クカン</t>
    </rPh>
    <phoneticPr fontId="19"/>
  </si>
  <si>
    <t>円</t>
    <rPh sb="0" eb="1">
      <t>エン</t>
    </rPh>
    <phoneticPr fontId="19"/>
  </si>
  <si>
    <t>日</t>
    <rPh sb="0" eb="1">
      <t>ニチ</t>
    </rPh>
    <phoneticPr fontId="19"/>
  </si>
  <si>
    <t>曜日</t>
    <rPh sb="0" eb="2">
      <t>ヨウビ</t>
    </rPh>
    <phoneticPr fontId="19"/>
  </si>
  <si>
    <t>往　路</t>
    <rPh sb="0" eb="1">
      <t>オウ</t>
    </rPh>
    <rPh sb="2" eb="3">
      <t>ロ</t>
    </rPh>
    <phoneticPr fontId="19"/>
  </si>
  <si>
    <t>復　路</t>
    <rPh sb="0" eb="1">
      <t>マタ</t>
    </rPh>
    <rPh sb="2" eb="3">
      <t>ロ</t>
    </rPh>
    <phoneticPr fontId="19"/>
  </si>
  <si>
    <t>利用確認</t>
    <rPh sb="0" eb="2">
      <t>リヨウ</t>
    </rPh>
    <rPh sb="2" eb="4">
      <t>カクニン</t>
    </rPh>
    <phoneticPr fontId="19"/>
  </si>
  <si>
    <t>通行止</t>
    <rPh sb="0" eb="2">
      <t>ツウコウ</t>
    </rPh>
    <rPh sb="2" eb="3">
      <t>ド</t>
    </rPh>
    <phoneticPr fontId="19"/>
  </si>
  <si>
    <t>年休</t>
    <rPh sb="0" eb="2">
      <t>ネンキュウ</t>
    </rPh>
    <phoneticPr fontId="19"/>
  </si>
  <si>
    <t>計</t>
    <rPh sb="0" eb="1">
      <t>ケイ</t>
    </rPh>
    <phoneticPr fontId="19"/>
  </si>
  <si>
    <t>（記載要領）</t>
    <rPh sb="1" eb="3">
      <t>キサイ</t>
    </rPh>
    <rPh sb="3" eb="5">
      <t>ヨウリョウ</t>
    </rPh>
    <phoneticPr fontId="19"/>
  </si>
  <si>
    <t>月</t>
    <rPh sb="0" eb="1">
      <t>ツキ</t>
    </rPh>
    <phoneticPr fontId="19"/>
  </si>
  <si>
    <t>利用確認欄</t>
    <rPh sb="0" eb="2">
      <t>リヨウ</t>
    </rPh>
    <rPh sb="2" eb="4">
      <t>カクニン</t>
    </rPh>
    <rPh sb="4" eb="5">
      <t>ラン</t>
    </rPh>
    <phoneticPr fontId="19"/>
  </si>
  <si>
    <t>旅行</t>
    <rPh sb="0" eb="2">
      <t>リョコウ</t>
    </rPh>
    <phoneticPr fontId="19"/>
  </si>
  <si>
    <t>特休</t>
    <rPh sb="0" eb="2">
      <t>トッキュウ</t>
    </rPh>
    <phoneticPr fontId="19"/>
  </si>
  <si>
    <t>その他</t>
    <rPh sb="2" eb="3">
      <t>タ</t>
    </rPh>
    <phoneticPr fontId="19"/>
  </si>
  <si>
    <t>初日</t>
    <rPh sb="0" eb="2">
      <t>ショニチ</t>
    </rPh>
    <phoneticPr fontId="19"/>
  </si>
  <si>
    <t>末日</t>
    <rPh sb="0" eb="2">
      <t>マツジツ</t>
    </rPh>
    <phoneticPr fontId="19"/>
  </si>
  <si>
    <t>～</t>
    <phoneticPr fontId="19"/>
  </si>
  <si>
    <t>・「利用確認」欄には、領収書等により利用が確認できる場合に「○」を記入。</t>
    <rPh sb="2" eb="4">
      <t>リヨウ</t>
    </rPh>
    <rPh sb="4" eb="6">
      <t>カクニン</t>
    </rPh>
    <rPh sb="7" eb="8">
      <t>ラン</t>
    </rPh>
    <rPh sb="11" eb="14">
      <t>リョウシュウショ</t>
    </rPh>
    <rPh sb="14" eb="15">
      <t>トウ</t>
    </rPh>
    <rPh sb="18" eb="20">
      <t>リヨウ</t>
    </rPh>
    <rPh sb="21" eb="23">
      <t>カクニン</t>
    </rPh>
    <rPh sb="26" eb="28">
      <t>バアイ</t>
    </rPh>
    <rPh sb="33" eb="35">
      <t>キニュウ</t>
    </rPh>
    <phoneticPr fontId="19"/>
  </si>
  <si>
    <t>・往路、復路それぞれについて記入すること。</t>
    <rPh sb="1" eb="3">
      <t>オウロ</t>
    </rPh>
    <rPh sb="4" eb="6">
      <t>フクロ</t>
    </rPh>
    <rPh sb="14" eb="16">
      <t>キニュウ</t>
    </rPh>
    <phoneticPr fontId="19"/>
  </si>
  <si>
    <t>　</t>
    <phoneticPr fontId="19"/>
  </si>
  <si>
    <t>【備考】</t>
    <rPh sb="1" eb="3">
      <t>ビコウ</t>
    </rPh>
    <phoneticPr fontId="19"/>
  </si>
  <si>
    <t>・本様式は、あくまで「参考様式」です。
　適切な利用確認がなされている限り、各所属において任意の様式を使用していただいて構いません。</t>
    <rPh sb="1" eb="2">
      <t>ホン</t>
    </rPh>
    <rPh sb="2" eb="4">
      <t>ヨウシキ</t>
    </rPh>
    <rPh sb="11" eb="13">
      <t>サンコウ</t>
    </rPh>
    <rPh sb="13" eb="15">
      <t>ヨウシキ</t>
    </rPh>
    <rPh sb="21" eb="23">
      <t>テキセツ</t>
    </rPh>
    <rPh sb="24" eb="26">
      <t>リヨウ</t>
    </rPh>
    <rPh sb="26" eb="28">
      <t>カクニン</t>
    </rPh>
    <rPh sb="35" eb="36">
      <t>カギ</t>
    </rPh>
    <rPh sb="38" eb="39">
      <t>カク</t>
    </rPh>
    <rPh sb="39" eb="41">
      <t>ショゾク</t>
    </rPh>
    <rPh sb="45" eb="47">
      <t>ニンイ</t>
    </rPh>
    <rPh sb="48" eb="50">
      <t>ヨウシキ</t>
    </rPh>
    <rPh sb="51" eb="53">
      <t>シヨウ</t>
    </rPh>
    <rPh sb="60" eb="61">
      <t>カマ</t>
    </rPh>
    <phoneticPr fontId="19"/>
  </si>
  <si>
    <t>令和</t>
    <rPh sb="0" eb="2">
      <t>レイワ</t>
    </rPh>
    <phoneticPr fontId="19"/>
  </si>
  <si>
    <t>利用金額</t>
    <rPh sb="0" eb="2">
      <t>リヨウ</t>
    </rPh>
    <rPh sb="2" eb="4">
      <t>キンガク</t>
    </rPh>
    <phoneticPr fontId="19"/>
  </si>
  <si>
    <t>翌々月に調整される額</t>
    <rPh sb="0" eb="3">
      <t>ヨクヨクゲツ</t>
    </rPh>
    <rPh sb="4" eb="6">
      <t>チョウセイ</t>
    </rPh>
    <rPh sb="9" eb="10">
      <t>ガク</t>
    </rPh>
    <phoneticPr fontId="19"/>
  </si>
  <si>
    <t>週休日</t>
    <rPh sb="0" eb="1">
      <t>シュウ</t>
    </rPh>
    <rPh sb="1" eb="3">
      <t>キュウジツ</t>
    </rPh>
    <phoneticPr fontId="19"/>
  </si>
  <si>
    <t>確認</t>
    <rPh sb="0" eb="2">
      <t>カクニン</t>
    </rPh>
    <phoneticPr fontId="19"/>
  </si>
  <si>
    <t>・「利用金額」欄には、実際に負担した金額（割引や還元額を適用した額）を記入。</t>
    <rPh sb="2" eb="4">
      <t>リヨウ</t>
    </rPh>
    <rPh sb="4" eb="6">
      <t>キンガク</t>
    </rPh>
    <rPh sb="7" eb="8">
      <t>ラン</t>
    </rPh>
    <rPh sb="11" eb="13">
      <t>ジッサイ</t>
    </rPh>
    <rPh sb="14" eb="16">
      <t>フタン</t>
    </rPh>
    <rPh sb="18" eb="19">
      <t>キン</t>
    </rPh>
    <rPh sb="19" eb="20">
      <t>ガク</t>
    </rPh>
    <rPh sb="21" eb="23">
      <t>ワリビキ</t>
    </rPh>
    <rPh sb="24" eb="27">
      <t>カンゲンガク</t>
    </rPh>
    <rPh sb="28" eb="30">
      <t>テキヨウ</t>
    </rPh>
    <rPh sb="32" eb="33">
      <t>ガク</t>
    </rPh>
    <rPh sb="35" eb="37">
      <t>キニュウ</t>
    </rPh>
    <phoneticPr fontId="19"/>
  </si>
  <si>
    <t>１ヶ月の特別料金等加算額
（認定額）</t>
    <rPh sb="2" eb="3">
      <t>ゲツ</t>
    </rPh>
    <rPh sb="4" eb="6">
      <t>トクベツ</t>
    </rPh>
    <rPh sb="6" eb="8">
      <t>リョウキン</t>
    </rPh>
    <rPh sb="8" eb="9">
      <t>トウ</t>
    </rPh>
    <rPh sb="9" eb="12">
      <t>カサンガク</t>
    </rPh>
    <rPh sb="14" eb="16">
      <t>ニンテイ</t>
    </rPh>
    <rPh sb="16" eb="17">
      <t>ガク</t>
    </rPh>
    <phoneticPr fontId="19"/>
  </si>
  <si>
    <t>利用区間の片道料金
（割引前）</t>
    <rPh sb="0" eb="4">
      <t>リヨウクカン</t>
    </rPh>
    <rPh sb="5" eb="9">
      <t>カタミチリョウキン</t>
    </rPh>
    <rPh sb="11" eb="13">
      <t>ワリビキ</t>
    </rPh>
    <rPh sb="13" eb="14">
      <t>マエ</t>
    </rPh>
    <phoneticPr fontId="19"/>
  </si>
  <si>
    <r>
      <t>　</t>
    </r>
    <r>
      <rPr>
        <u/>
        <sz val="11"/>
        <rFont val="ＭＳ Ｐゴシック"/>
        <family val="3"/>
        <charset val="128"/>
      </rPr>
      <t>自宅発着の旅行や1日年休を取得</t>
    </r>
    <r>
      <rPr>
        <sz val="11"/>
        <rFont val="ＭＳ Ｐゴシック"/>
        <family val="3"/>
        <charset val="128"/>
      </rPr>
      <t>している場合は</t>
    </r>
    <r>
      <rPr>
        <u/>
        <sz val="11"/>
        <rFont val="ＭＳ Ｐゴシック"/>
        <family val="3"/>
        <charset val="128"/>
      </rPr>
      <t>通勤での利用ではない</t>
    </r>
    <r>
      <rPr>
        <sz val="11"/>
        <rFont val="ＭＳ Ｐゴシック"/>
        <family val="3"/>
        <charset val="128"/>
      </rPr>
      <t>ため利用に含めないこと。</t>
    </r>
    <rPh sb="1" eb="3">
      <t>ジタク</t>
    </rPh>
    <rPh sb="3" eb="5">
      <t>ハッチャク</t>
    </rPh>
    <rPh sb="6" eb="8">
      <t>リョコウ</t>
    </rPh>
    <rPh sb="10" eb="11">
      <t>ニチ</t>
    </rPh>
    <rPh sb="11" eb="13">
      <t>ネンキュウ</t>
    </rPh>
    <rPh sb="14" eb="16">
      <t>シュトク</t>
    </rPh>
    <rPh sb="20" eb="22">
      <t>バアイ</t>
    </rPh>
    <rPh sb="23" eb="25">
      <t>ツウキン</t>
    </rPh>
    <rPh sb="27" eb="29">
      <t>リヨウ</t>
    </rPh>
    <rPh sb="35" eb="37">
      <t>リヨウ</t>
    </rPh>
    <rPh sb="38" eb="39">
      <t>フク</t>
    </rPh>
    <phoneticPr fontId="19"/>
  </si>
  <si>
    <t>利用確認回数</t>
    <rPh sb="0" eb="2">
      <t>リヨウ</t>
    </rPh>
    <rPh sb="2" eb="4">
      <t>カクニン</t>
    </rPh>
    <rPh sb="4" eb="6">
      <t>カイスウ</t>
    </rPh>
    <phoneticPr fontId="19"/>
  </si>
  <si>
    <t>実際に支給される特別料金等の額</t>
    <rPh sb="0" eb="2">
      <t>ジッサイ</t>
    </rPh>
    <rPh sb="3" eb="5">
      <t>シキュウ</t>
    </rPh>
    <rPh sb="8" eb="10">
      <t>トクベツ</t>
    </rPh>
    <rPh sb="10" eb="12">
      <t>リョウキン</t>
    </rPh>
    <rPh sb="12" eb="13">
      <t>トウ</t>
    </rPh>
    <rPh sb="14" eb="15">
      <t>ガク</t>
    </rPh>
    <phoneticPr fontId="19"/>
  </si>
  <si>
    <t>利用金額合計</t>
    <rPh sb="0" eb="2">
      <t>リヨウ</t>
    </rPh>
    <rPh sb="2" eb="4">
      <t>キンガク</t>
    </rPh>
    <rPh sb="4" eb="6">
      <t>ゴウケイ</t>
    </rPh>
    <phoneticPr fontId="19"/>
  </si>
  <si>
    <t>〇</t>
    <phoneticPr fontId="19"/>
  </si>
  <si>
    <t>高速道路等利用実績簿</t>
    <rPh sb="0" eb="2">
      <t>コウソク</t>
    </rPh>
    <rPh sb="2" eb="4">
      <t>ドウロ</t>
    </rPh>
    <rPh sb="4" eb="5">
      <t>トウ</t>
    </rPh>
    <rPh sb="5" eb="7">
      <t>リヨウ</t>
    </rPh>
    <rPh sb="7" eb="9">
      <t>ジッセキ</t>
    </rPh>
    <rPh sb="9" eb="10">
      <t>ボ</t>
    </rPh>
    <phoneticPr fontId="19"/>
  </si>
  <si>
    <t>日田高等学校</t>
    <rPh sb="0" eb="2">
      <t>ヒタ</t>
    </rPh>
    <rPh sb="2" eb="6">
      <t>コウトウガッコウ</t>
    </rPh>
    <phoneticPr fontId="19"/>
  </si>
  <si>
    <t>１ヶ月の特別料金等加算額（認定額）</t>
    <rPh sb="2" eb="3">
      <t>ゲツ</t>
    </rPh>
    <rPh sb="4" eb="6">
      <t>トクベツ</t>
    </rPh>
    <rPh sb="6" eb="8">
      <t>リョウキン</t>
    </rPh>
    <rPh sb="8" eb="9">
      <t>トウ</t>
    </rPh>
    <rPh sb="9" eb="12">
      <t>カサンガク</t>
    </rPh>
    <rPh sb="13" eb="15">
      <t>ニンテイ</t>
    </rPh>
    <rPh sb="15" eb="16">
      <t>ガク</t>
    </rPh>
    <phoneticPr fontId="19"/>
  </si>
  <si>
    <t>教諭</t>
    <rPh sb="0" eb="2">
      <t>キョウユ</t>
    </rPh>
    <phoneticPr fontId="19"/>
  </si>
  <si>
    <t>伊藤大貴</t>
    <rPh sb="0" eb="4">
      <t>イトウダイキ</t>
    </rPh>
    <phoneticPr fontId="19"/>
  </si>
  <si>
    <t>伊藤</t>
    <rPh sb="0" eb="2">
      <t>イトウ</t>
    </rPh>
    <phoneticPr fontId="19"/>
  </si>
  <si>
    <t>日田</t>
    <rPh sb="0" eb="2">
      <t>ヒタ</t>
    </rPh>
    <phoneticPr fontId="19"/>
  </si>
  <si>
    <t>大分米良</t>
    <rPh sb="0" eb="2">
      <t>オオイタ</t>
    </rPh>
    <rPh sb="2" eb="4">
      <t>メラ</t>
    </rPh>
    <phoneticPr fontId="19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</si>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</sst>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;[Red]\-#,##0\ "/>
    <numFmt numFmtId="177" formatCode="d"/>
    <numFmt numFmtId="178" formatCode="[$-411]ge\.m\.d;@"/>
    <numFmt numFmtId="179" formatCode="#,##0.00_ "/>
    <numFmt numFmtId="180" formatCode="#,##0_);[Red]\(#,##0\)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明朝"/>
      <family val="1"/>
      <charset val="128"/>
    </font>
    <font>
      <sz val="9"/>
      <color indexed="10"/>
      <name val="ＭＳ 明朝"/>
      <family val="1"/>
      <charset val="128"/>
    </font>
    <font>
      <b/>
      <sz val="9"/>
      <color indexed="10"/>
      <name val="ＭＳ 明朝"/>
      <family val="1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明朝"/>
      <family val="1"/>
      <charset val="128"/>
    </font>
    <font>
      <sz val="12"/>
      <name val="ＭＳ Ｐゴシック"/>
      <family val="3"/>
      <charset val="128"/>
      <scheme val="minor"/>
    </font>
    <font>
      <b/>
      <sz val="11"/>
      <color rgb="FFFF0000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23" fillId="0" borderId="0" xfId="0" applyFont="1" applyFill="1" applyBorder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1" fillId="0" borderId="0" xfId="0" applyFont="1" applyFill="1">
      <alignment vertical="center"/>
    </xf>
    <xf numFmtId="0" fontId="22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3" fillId="0" borderId="0" xfId="0" applyFont="1" applyFill="1" applyBorder="1" applyAlignment="1" applyProtection="1">
      <alignment vertical="center" shrinkToFit="1"/>
      <protection locked="0"/>
    </xf>
    <xf numFmtId="0" fontId="24" fillId="0" borderId="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 vertical="center" shrinkToFit="1"/>
    </xf>
    <xf numFmtId="178" fontId="24" fillId="0" borderId="0" xfId="0" applyNumberFormat="1" applyFont="1" applyBorder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 shrinkToFit="1"/>
    </xf>
    <xf numFmtId="0" fontId="21" fillId="0" borderId="12" xfId="0" applyFont="1" applyBorder="1">
      <alignment vertical="center"/>
    </xf>
    <xf numFmtId="0" fontId="21" fillId="0" borderId="0" xfId="0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shrinkToFit="1"/>
    </xf>
    <xf numFmtId="0" fontId="25" fillId="24" borderId="13" xfId="0" applyFont="1" applyFill="1" applyBorder="1" applyAlignment="1" applyProtection="1">
      <alignment horizontal="center" vertical="center" shrinkToFit="1"/>
      <protection locked="0"/>
    </xf>
    <xf numFmtId="0" fontId="25" fillId="0" borderId="0" xfId="0" applyFont="1" applyFill="1" applyBorder="1" applyAlignment="1" applyProtection="1">
      <alignment horizontal="center" vertical="center" shrinkToFit="1"/>
      <protection locked="0"/>
    </xf>
    <xf numFmtId="0" fontId="25" fillId="24" borderId="12" xfId="0" applyFont="1" applyFill="1" applyBorder="1" applyAlignment="1" applyProtection="1">
      <alignment horizontal="center" vertical="center" shrinkToFit="1"/>
      <protection locked="0"/>
    </xf>
    <xf numFmtId="0" fontId="25" fillId="24" borderId="19" xfId="0" applyFont="1" applyFill="1" applyBorder="1" applyAlignment="1" applyProtection="1">
      <alignment horizontal="center" vertical="center" shrinkToFit="1"/>
      <protection locked="0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vertical="center" shrinkToFit="1"/>
    </xf>
    <xf numFmtId="0" fontId="22" fillId="0" borderId="0" xfId="0" applyFont="1" applyBorder="1" applyAlignment="1">
      <alignment horizontal="center" vertical="center"/>
    </xf>
    <xf numFmtId="176" fontId="26" fillId="0" borderId="12" xfId="33" applyNumberFormat="1" applyFont="1" applyBorder="1" applyAlignment="1">
      <alignment vertical="center"/>
    </xf>
    <xf numFmtId="176" fontId="26" fillId="0" borderId="0" xfId="33" applyNumberFormat="1" applyFont="1" applyBorder="1" applyAlignment="1">
      <alignment vertical="center"/>
    </xf>
    <xf numFmtId="0" fontId="27" fillId="25" borderId="21" xfId="0" applyFont="1" applyFill="1" applyBorder="1" applyAlignment="1">
      <alignment horizontal="center" vertical="center"/>
    </xf>
    <xf numFmtId="0" fontId="28" fillId="25" borderId="14" xfId="0" applyFont="1" applyFill="1" applyBorder="1">
      <alignment vertical="center"/>
    </xf>
    <xf numFmtId="0" fontId="28" fillId="25" borderId="11" xfId="0" applyFont="1" applyFill="1" applyBorder="1">
      <alignment vertical="center"/>
    </xf>
    <xf numFmtId="0" fontId="28" fillId="25" borderId="22" xfId="0" applyFont="1" applyFill="1" applyBorder="1">
      <alignment vertical="center"/>
    </xf>
    <xf numFmtId="0" fontId="28" fillId="0" borderId="0" xfId="0" applyFont="1" applyFill="1" applyBorder="1">
      <alignment vertical="center"/>
    </xf>
    <xf numFmtId="0" fontId="27" fillId="25" borderId="21" xfId="0" quotePrefix="1" applyFont="1" applyFill="1" applyBorder="1" applyAlignment="1">
      <alignment horizontal="center" vertical="center"/>
    </xf>
    <xf numFmtId="0" fontId="27" fillId="25" borderId="14" xfId="0" applyFont="1" applyFill="1" applyBorder="1">
      <alignment vertical="center"/>
    </xf>
    <xf numFmtId="0" fontId="27" fillId="25" borderId="23" xfId="0" applyFont="1" applyFill="1" applyBorder="1">
      <alignment vertical="center"/>
    </xf>
    <xf numFmtId="0" fontId="27" fillId="25" borderId="12" xfId="0" applyFont="1" applyFill="1" applyBorder="1">
      <alignment vertical="center"/>
    </xf>
    <xf numFmtId="0" fontId="27" fillId="0" borderId="0" xfId="0" applyFont="1" applyFill="1" applyBorder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Border="1">
      <alignment vertical="center"/>
    </xf>
    <xf numFmtId="0" fontId="27" fillId="0" borderId="0" xfId="0" applyFont="1" applyBorder="1">
      <alignment vertical="center"/>
    </xf>
    <xf numFmtId="0" fontId="27" fillId="25" borderId="25" xfId="0" applyFont="1" applyFill="1" applyBorder="1">
      <alignment vertical="center"/>
    </xf>
    <xf numFmtId="0" fontId="27" fillId="25" borderId="0" xfId="0" applyFont="1" applyFill="1" applyAlignment="1">
      <alignment horizontal="center" vertical="center"/>
    </xf>
    <xf numFmtId="0" fontId="21" fillId="25" borderId="0" xfId="0" applyFont="1" applyFill="1">
      <alignment vertical="center"/>
    </xf>
    <xf numFmtId="0" fontId="27" fillId="25" borderId="0" xfId="0" quotePrefix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7" fillId="25" borderId="12" xfId="0" applyFont="1" applyFill="1" applyBorder="1" applyAlignment="1">
      <alignment horizontal="center" vertical="center"/>
    </xf>
    <xf numFmtId="0" fontId="27" fillId="25" borderId="26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78" fontId="21" fillId="0" borderId="0" xfId="0" applyNumberFormat="1" applyFont="1">
      <alignment vertical="center"/>
    </xf>
    <xf numFmtId="0" fontId="24" fillId="0" borderId="0" xfId="0" applyFont="1" applyAlignment="1">
      <alignment vertical="center"/>
    </xf>
    <xf numFmtId="0" fontId="25" fillId="24" borderId="22" xfId="0" applyFont="1" applyFill="1" applyBorder="1" applyAlignment="1" applyProtection="1">
      <alignment horizontal="center" vertical="center" shrinkToFit="1"/>
      <protection locked="0"/>
    </xf>
    <xf numFmtId="0" fontId="25" fillId="24" borderId="32" xfId="0" applyFont="1" applyFill="1" applyBorder="1" applyAlignment="1" applyProtection="1">
      <alignment horizontal="center" vertical="center" shrinkToFit="1"/>
      <protection locked="0"/>
    </xf>
    <xf numFmtId="0" fontId="0" fillId="0" borderId="0" xfId="0" applyFont="1" applyAlignment="1">
      <alignment horizontal="left" vertical="top" wrapText="1"/>
    </xf>
    <xf numFmtId="0" fontId="28" fillId="25" borderId="0" xfId="0" applyFont="1" applyFill="1" applyBorder="1">
      <alignment vertical="center"/>
    </xf>
    <xf numFmtId="0" fontId="27" fillId="25" borderId="0" xfId="0" applyFont="1" applyFill="1" applyBorder="1">
      <alignment vertical="center"/>
    </xf>
    <xf numFmtId="178" fontId="27" fillId="25" borderId="0" xfId="0" applyNumberFormat="1" applyFont="1" applyFill="1" applyBorder="1" applyAlignment="1">
      <alignment horizontal="center" vertical="center" shrinkToFit="1"/>
    </xf>
    <xf numFmtId="178" fontId="27" fillId="25" borderId="0" xfId="0" applyNumberFormat="1" applyFont="1" applyFill="1" applyBorder="1" applyAlignment="1">
      <alignment horizontal="center" vertical="center"/>
    </xf>
    <xf numFmtId="0" fontId="25" fillId="24" borderId="34" xfId="0" applyFont="1" applyFill="1" applyBorder="1" applyAlignment="1" applyProtection="1">
      <alignment horizontal="center" vertical="center" shrinkToFit="1"/>
      <protection locked="0"/>
    </xf>
    <xf numFmtId="0" fontId="21" fillId="0" borderId="0" xfId="0" applyFont="1" applyBorder="1">
      <alignment vertical="center"/>
    </xf>
    <xf numFmtId="0" fontId="23" fillId="0" borderId="0" xfId="0" applyFont="1" applyFill="1" applyBorder="1" applyAlignment="1" applyProtection="1">
      <alignment horizontal="center" vertical="center" shrinkToFit="1"/>
      <protection locked="0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>
      <alignment vertical="center"/>
    </xf>
    <xf numFmtId="180" fontId="25" fillId="24" borderId="21" xfId="0" applyNumberFormat="1" applyFont="1" applyFill="1" applyBorder="1" applyAlignment="1" applyProtection="1">
      <alignment horizontal="center" vertical="center" shrinkToFit="1"/>
      <protection locked="0"/>
    </xf>
    <xf numFmtId="180" fontId="25" fillId="24" borderId="34" xfId="0" applyNumberFormat="1" applyFont="1" applyFill="1" applyBorder="1" applyAlignment="1" applyProtection="1">
      <alignment horizontal="center" vertical="center" shrinkToFit="1"/>
      <protection locked="0"/>
    </xf>
    <xf numFmtId="180" fontId="25" fillId="24" borderId="14" xfId="0" applyNumberFormat="1" applyFont="1" applyFill="1" applyBorder="1" applyAlignment="1" applyProtection="1">
      <alignment horizontal="center" vertical="center" shrinkToFit="1"/>
      <protection locked="0"/>
    </xf>
    <xf numFmtId="0" fontId="25" fillId="26" borderId="16" xfId="0" applyFont="1" applyFill="1" applyBorder="1" applyAlignment="1" applyProtection="1">
      <alignment horizontal="center" vertical="center" shrinkToFit="1"/>
      <protection locked="0"/>
    </xf>
    <xf numFmtId="0" fontId="25" fillId="26" borderId="36" xfId="0" applyFont="1" applyFill="1" applyBorder="1" applyAlignment="1" applyProtection="1">
      <alignment horizontal="center" vertical="center" shrinkToFit="1"/>
      <protection locked="0"/>
    </xf>
    <xf numFmtId="0" fontId="25" fillId="26" borderId="27" xfId="0" applyFont="1" applyFill="1" applyBorder="1" applyAlignment="1" applyProtection="1">
      <alignment horizontal="center" vertical="center" shrinkToFit="1"/>
      <protection locked="0"/>
    </xf>
    <xf numFmtId="0" fontId="25" fillId="26" borderId="37" xfId="0" applyFont="1" applyFill="1" applyBorder="1" applyAlignment="1" applyProtection="1">
      <alignment horizontal="center" vertical="center" shrinkToFit="1"/>
      <protection locked="0"/>
    </xf>
    <xf numFmtId="0" fontId="25" fillId="26" borderId="38" xfId="0" applyFont="1" applyFill="1" applyBorder="1" applyAlignment="1" applyProtection="1">
      <alignment horizontal="center" vertical="center" shrinkToFit="1"/>
      <protection locked="0"/>
    </xf>
    <xf numFmtId="0" fontId="25" fillId="26" borderId="30" xfId="0" applyFont="1" applyFill="1" applyBorder="1" applyAlignment="1" applyProtection="1">
      <alignment horizontal="center" vertical="center" shrinkToFit="1"/>
      <protection locked="0"/>
    </xf>
    <xf numFmtId="0" fontId="25" fillId="26" borderId="31" xfId="0" applyFont="1" applyFill="1" applyBorder="1" applyAlignment="1" applyProtection="1">
      <alignment horizontal="center" vertical="center" shrinkToFit="1"/>
      <protection locked="0"/>
    </xf>
    <xf numFmtId="0" fontId="21" fillId="0" borderId="50" xfId="0" applyFont="1" applyFill="1" applyBorder="1" applyAlignment="1">
      <alignment vertical="center" shrinkToFit="1"/>
    </xf>
    <xf numFmtId="0" fontId="21" fillId="0" borderId="51" xfId="0" applyFont="1" applyFill="1" applyBorder="1" applyAlignment="1">
      <alignment vertical="center" shrinkToFit="1"/>
    </xf>
    <xf numFmtId="0" fontId="21" fillId="26" borderId="33" xfId="0" applyFont="1" applyFill="1" applyBorder="1" applyAlignment="1">
      <alignment vertical="center" shrinkToFit="1"/>
    </xf>
    <xf numFmtId="180" fontId="21" fillId="26" borderId="35" xfId="0" applyNumberFormat="1" applyFont="1" applyFill="1" applyBorder="1" applyAlignment="1">
      <alignment vertical="center" shrinkToFit="1"/>
    </xf>
    <xf numFmtId="0" fontId="21" fillId="26" borderId="20" xfId="0" applyFont="1" applyFill="1" applyBorder="1" applyAlignment="1">
      <alignment vertical="center" shrinkToFit="1"/>
    </xf>
    <xf numFmtId="0" fontId="21" fillId="0" borderId="0" xfId="0" applyFont="1" applyBorder="1" applyAlignment="1">
      <alignment vertical="center" wrapText="1" shrinkToFit="1"/>
    </xf>
    <xf numFmtId="0" fontId="21" fillId="0" borderId="0" xfId="0" applyFont="1" applyBorder="1" applyAlignment="1">
      <alignment vertical="center" shrinkToFit="1"/>
    </xf>
    <xf numFmtId="0" fontId="20" fillId="0" borderId="0" xfId="0" applyFont="1" applyAlignment="1">
      <alignment vertical="center"/>
    </xf>
    <xf numFmtId="0" fontId="34" fillId="0" borderId="0" xfId="0" applyFont="1" applyBorder="1" applyAlignment="1">
      <alignment horizontal="center" vertical="center" wrapText="1"/>
    </xf>
    <xf numFmtId="0" fontId="37" fillId="0" borderId="10" xfId="0" applyFont="1" applyBorder="1">
      <alignment vertical="center"/>
    </xf>
    <xf numFmtId="0" fontId="37" fillId="0" borderId="0" xfId="0" applyFont="1" applyAlignment="1">
      <alignment vertical="center"/>
    </xf>
    <xf numFmtId="177" fontId="31" fillId="0" borderId="12" xfId="0" applyNumberFormat="1" applyFont="1" applyFill="1" applyBorder="1" applyAlignment="1" applyProtection="1">
      <alignment horizontal="center" vertical="center"/>
    </xf>
    <xf numFmtId="0" fontId="31" fillId="0" borderId="14" xfId="0" applyFont="1" applyFill="1" applyBorder="1" applyAlignment="1" applyProtection="1">
      <alignment horizontal="center" vertical="center"/>
    </xf>
    <xf numFmtId="177" fontId="31" fillId="0" borderId="28" xfId="0" applyNumberFormat="1" applyFont="1" applyFill="1" applyBorder="1" applyAlignment="1" applyProtection="1">
      <alignment horizontal="center" vertical="center"/>
    </xf>
    <xf numFmtId="0" fontId="31" fillId="0" borderId="29" xfId="0" applyFont="1" applyFill="1" applyBorder="1" applyAlignment="1" applyProtection="1">
      <alignment horizontal="center" vertical="center"/>
    </xf>
    <xf numFmtId="177" fontId="31" fillId="0" borderId="15" xfId="0" applyNumberFormat="1" applyFont="1" applyFill="1" applyBorder="1" applyAlignment="1" applyProtection="1">
      <alignment horizontal="center" vertical="center"/>
    </xf>
    <xf numFmtId="0" fontId="31" fillId="0" borderId="16" xfId="0" applyFont="1" applyFill="1" applyBorder="1" applyAlignment="1" applyProtection="1">
      <alignment horizontal="center" vertical="center"/>
    </xf>
    <xf numFmtId="177" fontId="31" fillId="0" borderId="17" xfId="0" applyNumberFormat="1" applyFont="1" applyFill="1" applyBorder="1" applyAlignment="1" applyProtection="1">
      <alignment horizontal="center" vertical="center"/>
    </xf>
    <xf numFmtId="0" fontId="31" fillId="0" borderId="18" xfId="0" applyFont="1" applyFill="1" applyBorder="1" applyAlignment="1" applyProtection="1">
      <alignment horizontal="center" vertical="center"/>
    </xf>
    <xf numFmtId="0" fontId="22" fillId="0" borderId="13" xfId="0" applyFont="1" applyFill="1" applyBorder="1" applyAlignment="1">
      <alignment horizontal="center" vertical="center" shrinkToFit="1"/>
    </xf>
    <xf numFmtId="0" fontId="22" fillId="0" borderId="21" xfId="0" applyFont="1" applyFill="1" applyBorder="1" applyAlignment="1">
      <alignment horizontal="center" vertical="center" shrinkToFit="1"/>
    </xf>
    <xf numFmtId="0" fontId="22" fillId="0" borderId="23" xfId="0" applyFont="1" applyFill="1" applyBorder="1" applyAlignment="1">
      <alignment horizontal="center" vertical="center" shrinkToFit="1"/>
    </xf>
    <xf numFmtId="0" fontId="22" fillId="0" borderId="27" xfId="0" applyFont="1" applyFill="1" applyBorder="1" applyAlignment="1">
      <alignment horizontal="center" vertical="center" shrinkToFit="1"/>
    </xf>
    <xf numFmtId="0" fontId="22" fillId="0" borderId="16" xfId="0" applyFont="1" applyFill="1" applyBorder="1" applyAlignment="1">
      <alignment horizontal="center" vertical="center" shrinkToFit="1"/>
    </xf>
    <xf numFmtId="0" fontId="22" fillId="0" borderId="12" xfId="0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left" vertical="top" wrapText="1"/>
    </xf>
    <xf numFmtId="0" fontId="21" fillId="0" borderId="14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3" fillId="24" borderId="14" xfId="0" applyFont="1" applyFill="1" applyBorder="1" applyAlignment="1" applyProtection="1">
      <alignment horizontal="center" vertical="center" shrinkToFit="1"/>
      <protection locked="0"/>
    </xf>
    <xf numFmtId="0" fontId="23" fillId="24" borderId="23" xfId="0" applyFont="1" applyFill="1" applyBorder="1" applyAlignment="1" applyProtection="1">
      <alignment horizontal="center" vertical="center" shrinkToFit="1"/>
      <protection locked="0"/>
    </xf>
    <xf numFmtId="0" fontId="23" fillId="24" borderId="12" xfId="0" applyFont="1" applyFill="1" applyBorder="1" applyAlignment="1" applyProtection="1">
      <alignment horizontal="center" vertical="center" shrinkToFit="1"/>
      <protection locked="0"/>
    </xf>
    <xf numFmtId="0" fontId="20" fillId="0" borderId="0" xfId="0" applyFont="1" applyAlignment="1">
      <alignment horizontal="center" vertical="center"/>
    </xf>
    <xf numFmtId="0" fontId="37" fillId="0" borderId="10" xfId="0" applyFont="1" applyBorder="1" applyAlignment="1">
      <alignment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  <xf numFmtId="0" fontId="21" fillId="0" borderId="14" xfId="0" applyFont="1" applyBorder="1" applyAlignment="1">
      <alignment vertical="center" wrapText="1" shrinkToFit="1"/>
    </xf>
    <xf numFmtId="0" fontId="21" fillId="0" borderId="23" xfId="0" applyFont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38" fontId="23" fillId="24" borderId="23" xfId="33" applyFont="1" applyFill="1" applyBorder="1" applyAlignment="1" applyProtection="1">
      <alignment vertical="center"/>
      <protection locked="0"/>
    </xf>
    <xf numFmtId="0" fontId="24" fillId="0" borderId="14" xfId="0" applyFont="1" applyBorder="1" applyAlignment="1">
      <alignment vertical="center" wrapText="1" shrinkToFit="1"/>
    </xf>
    <xf numFmtId="0" fontId="24" fillId="0" borderId="23" xfId="0" applyFont="1" applyBorder="1" applyAlignment="1">
      <alignment vertical="center" shrinkToFit="1"/>
    </xf>
    <xf numFmtId="0" fontId="24" fillId="0" borderId="12" xfId="0" applyFont="1" applyBorder="1" applyAlignment="1">
      <alignment vertical="center" shrinkToFit="1"/>
    </xf>
    <xf numFmtId="38" fontId="23" fillId="26" borderId="23" xfId="33" applyFont="1" applyFill="1" applyBorder="1" applyAlignment="1" applyProtection="1">
      <alignment vertical="center"/>
      <protection locked="0"/>
    </xf>
    <xf numFmtId="0" fontId="22" fillId="0" borderId="4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9" xfId="0" applyFont="1" applyFill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47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shrinkToFit="1"/>
    </xf>
    <xf numFmtId="0" fontId="37" fillId="0" borderId="23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14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178" fontId="27" fillId="25" borderId="14" xfId="0" applyNumberFormat="1" applyFont="1" applyFill="1" applyBorder="1" applyAlignment="1">
      <alignment horizontal="center" vertical="center" shrinkToFit="1"/>
    </xf>
    <xf numFmtId="178" fontId="27" fillId="25" borderId="12" xfId="0" applyNumberFormat="1" applyFont="1" applyFill="1" applyBorder="1" applyAlignment="1">
      <alignment horizontal="center" vertical="center" shrinkToFit="1"/>
    </xf>
    <xf numFmtId="178" fontId="27" fillId="25" borderId="14" xfId="0" applyNumberFormat="1" applyFont="1" applyFill="1" applyBorder="1" applyAlignment="1">
      <alignment horizontal="center" vertical="center"/>
    </xf>
    <xf numFmtId="178" fontId="27" fillId="25" borderId="12" xfId="0" applyNumberFormat="1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76" fontId="33" fillId="26" borderId="14" xfId="34" applyNumberFormat="1" applyFont="1" applyFill="1" applyBorder="1" applyAlignment="1">
      <alignment horizontal="right" vertical="center"/>
    </xf>
    <xf numFmtId="176" fontId="33" fillId="26" borderId="23" xfId="34" applyNumberFormat="1" applyFont="1" applyFill="1" applyBorder="1" applyAlignment="1">
      <alignment horizontal="right" vertical="center"/>
    </xf>
    <xf numFmtId="0" fontId="34" fillId="0" borderId="29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2" xfId="34" xr:uid="{00000000-0005-0000-0000-000021000000}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良い" xfId="43" builtinId="26" customBuiltin="1"/>
  </cellStyles>
  <dxfs count="36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  <name val="ＭＳ Ｐゴシック"/>
        <scheme val="none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  <name val="ＭＳ Ｐゴシック"/>
        <scheme val="none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142874</xdr:rowOff>
    </xdr:from>
    <xdr:to>
      <xdr:col>8</xdr:col>
      <xdr:colOff>209550</xdr:colOff>
      <xdr:row>8</xdr:row>
      <xdr:rowOff>19049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4775" y="1381124"/>
          <a:ext cx="4219575" cy="790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・水色に着色されているセルについては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入力が必要な箇所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です。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・黄色に着色されているセルには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数式が入力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されていますので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編集　　</a:t>
          </a:r>
          <a:endParaRPr kumimoji="1" lang="en-US" altLang="ja-JP" sz="1100" b="1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　しないでください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。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1"/>
  <sheetViews>
    <sheetView tabSelected="1" view="pageBreakPreview" topLeftCell="A25" zoomScaleNormal="100" zoomScaleSheetLayoutView="100" workbookViewId="0">
      <selection activeCell="F29" sqref="F29"/>
    </sheetView>
  </sheetViews>
  <sheetFormatPr defaultColWidth="5.88671875" defaultRowHeight="36" customHeight="1"/>
  <cols>
    <col min="1" max="1" width="6.77734375" style="4" customWidth="1"/>
    <col min="2" max="2" width="6.109375" style="2" customWidth="1"/>
    <col min="3" max="3" width="6.109375" style="4" customWidth="1"/>
    <col min="4" max="4" width="6.77734375" style="4" customWidth="1"/>
    <col min="5" max="5" width="7.88671875" style="4" customWidth="1"/>
    <col min="6" max="6" width="5.77734375" style="4" customWidth="1"/>
    <col min="7" max="7" width="6.77734375" style="4" customWidth="1"/>
    <col min="8" max="8" width="7.88671875" style="4" customWidth="1"/>
    <col min="9" max="9" width="5.88671875" style="4" customWidth="1"/>
    <col min="10" max="11" width="6.109375" style="2" customWidth="1"/>
    <col min="12" max="12" width="6.77734375" style="2" customWidth="1"/>
    <col min="13" max="13" width="7.88671875" style="2" customWidth="1"/>
    <col min="14" max="14" width="6.109375" style="2" customWidth="1"/>
    <col min="15" max="15" width="6.77734375" style="2" customWidth="1"/>
    <col min="16" max="16" width="7.88671875" style="2" customWidth="1"/>
    <col min="17" max="17" width="5.77734375" style="2" customWidth="1"/>
    <col min="18" max="23" width="6.77734375" style="2" customWidth="1"/>
    <col min="24" max="24" width="7.21875" style="2" customWidth="1"/>
    <col min="25" max="27" width="5.88671875" style="2"/>
    <col min="28" max="28" width="9.33203125" style="2" bestFit="1" customWidth="1"/>
    <col min="29" max="16384" width="5.88671875" style="2"/>
  </cols>
  <sheetData>
    <row r="1" spans="1:25" ht="24" customHeight="1">
      <c r="A1" s="109" t="s">
        <v>42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82"/>
      <c r="U1" s="82"/>
      <c r="V1" s="82"/>
      <c r="W1" s="100"/>
    </row>
    <row r="2" spans="1:25" ht="17.2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25" ht="24" customHeight="1">
      <c r="A3" s="110" t="s">
        <v>0</v>
      </c>
      <c r="B3" s="110"/>
      <c r="C3" s="111" t="s">
        <v>43</v>
      </c>
      <c r="D3" s="111"/>
      <c r="E3" s="111"/>
      <c r="F3" s="111"/>
      <c r="G3" s="111"/>
      <c r="H3" s="111"/>
      <c r="J3" s="84" t="s">
        <v>1</v>
      </c>
      <c r="K3" s="111" t="s">
        <v>45</v>
      </c>
      <c r="L3" s="111"/>
      <c r="M3" s="84" t="s">
        <v>2</v>
      </c>
      <c r="N3" s="111" t="s">
        <v>46</v>
      </c>
      <c r="O3" s="111"/>
      <c r="P3" s="111"/>
      <c r="Q3" s="111"/>
      <c r="R3" s="63"/>
      <c r="S3" s="5"/>
    </row>
    <row r="4" spans="1:25" ht="8.25" customHeight="1">
      <c r="A4" s="6"/>
      <c r="S4" s="7"/>
    </row>
    <row r="5" spans="1:25" ht="24" customHeight="1">
      <c r="A5" s="85" t="s">
        <v>29</v>
      </c>
      <c r="B5" s="101">
        <v>7</v>
      </c>
      <c r="C5" s="8" t="s">
        <v>3</v>
      </c>
      <c r="D5" s="101">
        <v>4</v>
      </c>
      <c r="E5" s="8" t="s">
        <v>4</v>
      </c>
      <c r="J5" s="103" t="s">
        <v>5</v>
      </c>
      <c r="K5" s="104"/>
      <c r="L5" s="105"/>
      <c r="M5" s="106" t="s">
        <v>49</v>
      </c>
      <c r="N5" s="107"/>
      <c r="O5" s="9" t="s">
        <v>23</v>
      </c>
      <c r="P5" s="107" t="s">
        <v>48</v>
      </c>
      <c r="Q5" s="108"/>
      <c r="R5" s="62"/>
      <c r="S5" s="10"/>
    </row>
    <row r="6" spans="1:25" ht="24" customHeight="1">
      <c r="A6" s="8"/>
      <c r="B6" s="63"/>
      <c r="C6" s="64"/>
      <c r="D6" s="63"/>
      <c r="E6" s="8"/>
      <c r="J6" s="112" t="s">
        <v>36</v>
      </c>
      <c r="K6" s="113"/>
      <c r="L6" s="114"/>
      <c r="M6" s="115">
        <v>2680</v>
      </c>
      <c r="N6" s="115"/>
      <c r="O6" s="115"/>
      <c r="P6" s="115"/>
      <c r="Q6" s="15" t="s">
        <v>6</v>
      </c>
      <c r="R6" s="61"/>
      <c r="S6" s="10"/>
    </row>
    <row r="7" spans="1:25" ht="24" customHeight="1">
      <c r="A7" s="6"/>
      <c r="B7" s="11"/>
      <c r="C7" s="12"/>
      <c r="D7" s="13"/>
      <c r="E7" s="12"/>
      <c r="F7" s="14"/>
      <c r="J7" s="116" t="s">
        <v>44</v>
      </c>
      <c r="K7" s="117"/>
      <c r="L7" s="118"/>
      <c r="M7" s="119">
        <f>M6*42</f>
        <v>112560</v>
      </c>
      <c r="N7" s="119"/>
      <c r="O7" s="119"/>
      <c r="P7" s="119"/>
      <c r="Q7" s="15" t="s">
        <v>6</v>
      </c>
      <c r="R7" s="61"/>
      <c r="S7" s="16"/>
    </row>
    <row r="8" spans="1:25" ht="24" customHeight="1">
      <c r="A8" s="6"/>
      <c r="B8" s="11"/>
      <c r="C8" s="12"/>
      <c r="D8" s="13"/>
      <c r="E8" s="12"/>
      <c r="F8" s="14"/>
      <c r="J8" s="80"/>
      <c r="K8" s="81"/>
      <c r="L8" s="7"/>
      <c r="M8" s="7"/>
      <c r="N8" s="7"/>
      <c r="O8" s="7"/>
      <c r="P8" s="7"/>
      <c r="Q8" s="61"/>
      <c r="R8" s="61"/>
      <c r="S8" s="16"/>
    </row>
    <row r="9" spans="1:25" ht="24" customHeight="1">
      <c r="A9" s="6"/>
      <c r="B9" s="11"/>
      <c r="C9" s="12"/>
      <c r="D9" s="13"/>
      <c r="E9" s="12"/>
      <c r="F9" s="14"/>
      <c r="J9" s="80"/>
      <c r="K9" s="81"/>
      <c r="L9" s="7"/>
      <c r="M9" s="7"/>
      <c r="N9" s="7"/>
      <c r="O9" s="7"/>
      <c r="P9" s="7"/>
      <c r="Q9" s="61"/>
      <c r="R9" s="61"/>
      <c r="S9" s="16"/>
    </row>
    <row r="10" spans="1:25" ht="24" customHeight="1" thickBot="1">
      <c r="I10" s="4" t="s">
        <v>26</v>
      </c>
      <c r="S10" s="7"/>
    </row>
    <row r="11" spans="1:25" ht="30" customHeight="1">
      <c r="A11" s="17"/>
      <c r="B11" s="120" t="s">
        <v>7</v>
      </c>
      <c r="C11" s="122" t="s">
        <v>8</v>
      </c>
      <c r="D11" s="124" t="s">
        <v>9</v>
      </c>
      <c r="E11" s="125"/>
      <c r="F11" s="126"/>
      <c r="G11" s="124" t="s">
        <v>10</v>
      </c>
      <c r="H11" s="125"/>
      <c r="I11" s="127"/>
      <c r="J11" s="128" t="s">
        <v>7</v>
      </c>
      <c r="K11" s="130" t="s">
        <v>8</v>
      </c>
      <c r="L11" s="124" t="s">
        <v>9</v>
      </c>
      <c r="M11" s="125"/>
      <c r="N11" s="126"/>
      <c r="O11" s="124" t="s">
        <v>10</v>
      </c>
      <c r="P11" s="125"/>
      <c r="Q11" s="127"/>
    </row>
    <row r="12" spans="1:25" s="4" customFormat="1" ht="24.75" customHeight="1">
      <c r="A12" s="18"/>
      <c r="B12" s="121"/>
      <c r="C12" s="123"/>
      <c r="D12" s="94" t="s">
        <v>11</v>
      </c>
      <c r="E12" s="95" t="s">
        <v>30</v>
      </c>
      <c r="F12" s="96" t="s">
        <v>33</v>
      </c>
      <c r="G12" s="94" t="s">
        <v>11</v>
      </c>
      <c r="H12" s="95" t="s">
        <v>30</v>
      </c>
      <c r="I12" s="97" t="s">
        <v>33</v>
      </c>
      <c r="J12" s="129"/>
      <c r="K12" s="131"/>
      <c r="L12" s="94" t="s">
        <v>11</v>
      </c>
      <c r="M12" s="95" t="s">
        <v>30</v>
      </c>
      <c r="N12" s="98" t="s">
        <v>33</v>
      </c>
      <c r="O12" s="99" t="s">
        <v>11</v>
      </c>
      <c r="P12" s="95" t="s">
        <v>30</v>
      </c>
      <c r="Q12" s="97" t="s">
        <v>33</v>
      </c>
    </row>
    <row r="13" spans="1:25" ht="21" customHeight="1">
      <c r="A13" s="20"/>
      <c r="B13" s="90">
        <f>$E$56</f>
        <v>45748</v>
      </c>
      <c r="C13" s="91" t="str">
        <f>IF(B13="-","-",TEXT(WEEKDAY(B13),"aaa"))</f>
        <v>火</v>
      </c>
      <c r="D13" s="19" t="s">
        <v>50</v>
      </c>
      <c r="E13" s="65">
        <v>2680</v>
      </c>
      <c r="F13" s="68" t="str">
        <f>IF(E13&gt;$M$6,"×","")</f>
        <v/>
      </c>
      <c r="G13" s="19" t="s">
        <v>50</v>
      </c>
      <c r="H13" s="65">
        <v>2680</v>
      </c>
      <c r="I13" s="70" t="str">
        <f>IF(H13&gt;$M$6,"×","")</f>
        <v/>
      </c>
      <c r="J13" s="90">
        <f>IF(B27=$E$57,"-",IF(B27="-","-",B27+1))</f>
        <v>45763</v>
      </c>
      <c r="K13" s="91" t="str">
        <f t="shared" ref="K13:K27" si="0">IF(J13="-","-",TEXT(WEEKDAY(J13),"aaa"))</f>
        <v>水</v>
      </c>
      <c r="L13" s="19" t="s">
        <v>50</v>
      </c>
      <c r="M13" s="65">
        <v>2680</v>
      </c>
      <c r="N13" s="68" t="str">
        <f t="shared" ref="N13:N28" si="1">IF(M13&gt;$M$6,"×","")</f>
        <v/>
      </c>
      <c r="O13" s="19" t="s">
        <v>50</v>
      </c>
      <c r="P13" s="65">
        <v>2680</v>
      </c>
      <c r="Q13" s="74" t="str">
        <f t="shared" ref="Q13:Q28" si="2">IF(P13&gt;$M$6,"×","")</f>
        <v/>
      </c>
    </row>
    <row r="14" spans="1:25" ht="21" customHeight="1">
      <c r="A14" s="20"/>
      <c r="B14" s="90">
        <f t="shared" ref="B14:B27" si="3">IF(B13=$E$57,"-",IF(B13="-","-",B13+1))</f>
        <v>45749</v>
      </c>
      <c r="C14" s="91" t="str">
        <f t="shared" ref="C14:C27" si="4">IF(B14="-","-",TEXT(WEEKDAY(B14),"aaa"))</f>
        <v>水</v>
      </c>
      <c r="D14" s="19" t="s">
        <v>50</v>
      </c>
      <c r="E14" s="65">
        <v>2680</v>
      </c>
      <c r="F14" s="68" t="str">
        <f t="shared" ref="F14:F27" si="5">IF(E14&gt;$M$6,"×","")</f>
        <v/>
      </c>
      <c r="G14" s="19" t="s">
        <v>50</v>
      </c>
      <c r="H14" s="65">
        <v>2680</v>
      </c>
      <c r="I14" s="70" t="str">
        <f t="shared" ref="I14:I27" si="6">IF(H14&gt;$M$6,"×","")</f>
        <v/>
      </c>
      <c r="J14" s="90">
        <f t="shared" ref="J14:J27" si="7">IF(J13=$E$57,"-",IF(J13="-","-",J13+1))</f>
        <v>45764</v>
      </c>
      <c r="K14" s="91" t="str">
        <f t="shared" si="0"/>
        <v>木</v>
      </c>
      <c r="L14" s="19" t="s">
        <v>50</v>
      </c>
      <c r="M14" s="65">
        <v>2680</v>
      </c>
      <c r="N14" s="68" t="str">
        <f t="shared" si="1"/>
        <v/>
      </c>
      <c r="O14" s="19" t="s">
        <v>50</v>
      </c>
      <c r="P14" s="65">
        <v>2680</v>
      </c>
      <c r="Q14" s="70" t="str">
        <f t="shared" si="2"/>
        <v/>
      </c>
    </row>
    <row r="15" spans="1:25" ht="21" customHeight="1">
      <c r="A15" s="20"/>
      <c r="B15" s="90">
        <f t="shared" si="3"/>
        <v>45750</v>
      </c>
      <c r="C15" s="91" t="str">
        <f t="shared" si="4"/>
        <v>木</v>
      </c>
      <c r="D15" s="19" t="s">
        <v>50</v>
      </c>
      <c r="E15" s="65">
        <v>2680</v>
      </c>
      <c r="F15" s="68" t="str">
        <f t="shared" si="5"/>
        <v/>
      </c>
      <c r="G15" s="19" t="s">
        <v>50</v>
      </c>
      <c r="H15" s="65">
        <v>2680</v>
      </c>
      <c r="I15" s="70" t="str">
        <f t="shared" si="6"/>
        <v/>
      </c>
      <c r="J15" s="90">
        <f t="shared" si="7"/>
        <v>45765</v>
      </c>
      <c r="K15" s="91" t="str">
        <f t="shared" si="0"/>
        <v>金</v>
      </c>
      <c r="L15" s="19" t="s">
        <v>50</v>
      </c>
      <c r="M15" s="65">
        <v>2680</v>
      </c>
      <c r="N15" s="68" t="str">
        <f t="shared" si="1"/>
        <v/>
      </c>
      <c r="O15" s="19" t="s">
        <v>50</v>
      </c>
      <c r="P15" s="65">
        <v>2680</v>
      </c>
      <c r="Q15" s="70" t="str">
        <f t="shared" si="2"/>
        <v/>
      </c>
    </row>
    <row r="16" spans="1:25" ht="21" customHeight="1">
      <c r="A16" s="20"/>
      <c r="B16" s="90">
        <f t="shared" si="3"/>
        <v>45751</v>
      </c>
      <c r="C16" s="91" t="str">
        <f t="shared" si="4"/>
        <v>金</v>
      </c>
      <c r="D16" s="19" t="s">
        <v>50</v>
      </c>
      <c r="E16" s="65">
        <v>2680</v>
      </c>
      <c r="F16" s="68" t="str">
        <f t="shared" si="5"/>
        <v/>
      </c>
      <c r="G16" s="19" t="s">
        <v>50</v>
      </c>
      <c r="H16" s="65">
        <v>2590</v>
      </c>
      <c r="I16" s="71" t="str">
        <f t="shared" si="6"/>
        <v/>
      </c>
      <c r="J16" s="90">
        <f t="shared" si="7"/>
        <v>45766</v>
      </c>
      <c r="K16" s="91" t="str">
        <f t="shared" si="0"/>
        <v>土</v>
      </c>
      <c r="L16" s="19"/>
      <c r="M16" s="65"/>
      <c r="N16" s="68" t="str">
        <f t="shared" si="1"/>
        <v/>
      </c>
      <c r="O16" s="19"/>
      <c r="P16" s="65"/>
      <c r="Q16" s="70" t="str">
        <f t="shared" si="2"/>
        <v/>
      </c>
      <c r="Y16" s="51"/>
    </row>
    <row r="17" spans="1:26" ht="21" customHeight="1">
      <c r="A17" s="20"/>
      <c r="B17" s="90">
        <f t="shared" si="3"/>
        <v>45752</v>
      </c>
      <c r="C17" s="91" t="str">
        <f t="shared" si="4"/>
        <v>土</v>
      </c>
      <c r="D17" s="19"/>
      <c r="E17" s="65"/>
      <c r="F17" s="68" t="str">
        <f t="shared" si="5"/>
        <v/>
      </c>
      <c r="G17" s="19"/>
      <c r="H17" s="65"/>
      <c r="I17" s="71" t="str">
        <f t="shared" si="6"/>
        <v/>
      </c>
      <c r="J17" s="90">
        <f t="shared" si="7"/>
        <v>45767</v>
      </c>
      <c r="K17" s="91" t="str">
        <f t="shared" si="0"/>
        <v>日</v>
      </c>
      <c r="L17" s="21"/>
      <c r="M17" s="65"/>
      <c r="N17" s="68" t="str">
        <f t="shared" si="1"/>
        <v/>
      </c>
      <c r="O17" s="21"/>
      <c r="P17" s="65"/>
      <c r="Q17" s="70" t="str">
        <f t="shared" si="2"/>
        <v/>
      </c>
    </row>
    <row r="18" spans="1:26" ht="21" customHeight="1">
      <c r="A18" s="20"/>
      <c r="B18" s="90">
        <f t="shared" si="3"/>
        <v>45753</v>
      </c>
      <c r="C18" s="91" t="str">
        <f t="shared" si="4"/>
        <v>日</v>
      </c>
      <c r="D18" s="19"/>
      <c r="E18" s="65"/>
      <c r="F18" s="68" t="str">
        <f t="shared" si="5"/>
        <v/>
      </c>
      <c r="G18" s="21"/>
      <c r="H18" s="65"/>
      <c r="I18" s="71" t="str">
        <f t="shared" si="6"/>
        <v/>
      </c>
      <c r="J18" s="90">
        <f t="shared" si="7"/>
        <v>45768</v>
      </c>
      <c r="K18" s="91" t="str">
        <f t="shared" si="0"/>
        <v>月</v>
      </c>
      <c r="L18" s="19" t="s">
        <v>50</v>
      </c>
      <c r="M18" s="65">
        <v>2680</v>
      </c>
      <c r="N18" s="68" t="str">
        <f t="shared" si="1"/>
        <v/>
      </c>
      <c r="O18" s="19" t="s">
        <v>50</v>
      </c>
      <c r="P18" s="65">
        <v>2680</v>
      </c>
      <c r="Q18" s="70" t="str">
        <f t="shared" si="2"/>
        <v/>
      </c>
    </row>
    <row r="19" spans="1:26" ht="21" customHeight="1">
      <c r="A19" s="20"/>
      <c r="B19" s="90">
        <f t="shared" si="3"/>
        <v>45754</v>
      </c>
      <c r="C19" s="91" t="str">
        <f t="shared" si="4"/>
        <v>月</v>
      </c>
      <c r="D19" s="19" t="s">
        <v>50</v>
      </c>
      <c r="E19" s="65">
        <v>2680</v>
      </c>
      <c r="F19" s="68" t="str">
        <f t="shared" si="5"/>
        <v/>
      </c>
      <c r="G19" s="19" t="s">
        <v>50</v>
      </c>
      <c r="H19" s="65">
        <v>2680</v>
      </c>
      <c r="I19" s="71" t="str">
        <f t="shared" si="6"/>
        <v/>
      </c>
      <c r="J19" s="90">
        <f t="shared" si="7"/>
        <v>45769</v>
      </c>
      <c r="K19" s="91" t="str">
        <f t="shared" si="0"/>
        <v>火</v>
      </c>
      <c r="L19" s="19" t="s">
        <v>50</v>
      </c>
      <c r="M19" s="65">
        <v>2680</v>
      </c>
      <c r="N19" s="68" t="str">
        <f t="shared" si="1"/>
        <v/>
      </c>
      <c r="O19" s="19" t="s">
        <v>50</v>
      </c>
      <c r="P19" s="65">
        <v>2680</v>
      </c>
      <c r="Q19" s="70" t="str">
        <f t="shared" si="2"/>
        <v/>
      </c>
    </row>
    <row r="20" spans="1:26" ht="21" customHeight="1">
      <c r="A20" s="20"/>
      <c r="B20" s="90">
        <f t="shared" si="3"/>
        <v>45755</v>
      </c>
      <c r="C20" s="91" t="str">
        <f t="shared" si="4"/>
        <v>火</v>
      </c>
      <c r="D20" s="19" t="s">
        <v>50</v>
      </c>
      <c r="E20" s="65">
        <v>2680</v>
      </c>
      <c r="F20" s="68" t="str">
        <f t="shared" si="5"/>
        <v/>
      </c>
      <c r="G20" s="19" t="s">
        <v>50</v>
      </c>
      <c r="H20" s="65">
        <v>2680</v>
      </c>
      <c r="I20" s="71" t="str">
        <f t="shared" si="6"/>
        <v/>
      </c>
      <c r="J20" s="90">
        <f t="shared" si="7"/>
        <v>45770</v>
      </c>
      <c r="K20" s="91" t="str">
        <f t="shared" si="0"/>
        <v>水</v>
      </c>
      <c r="L20" s="19" t="s">
        <v>50</v>
      </c>
      <c r="M20" s="65">
        <v>2680</v>
      </c>
      <c r="N20" s="68" t="str">
        <f t="shared" si="1"/>
        <v/>
      </c>
      <c r="O20" s="19" t="s">
        <v>50</v>
      </c>
      <c r="P20" s="65">
        <v>2680</v>
      </c>
      <c r="Q20" s="70" t="str">
        <f t="shared" si="2"/>
        <v/>
      </c>
    </row>
    <row r="21" spans="1:26" ht="21" customHeight="1">
      <c r="A21" s="20"/>
      <c r="B21" s="90">
        <f t="shared" si="3"/>
        <v>45756</v>
      </c>
      <c r="C21" s="91" t="str">
        <f t="shared" si="4"/>
        <v>水</v>
      </c>
      <c r="D21" s="19" t="s">
        <v>50</v>
      </c>
      <c r="E21" s="65">
        <v>2680</v>
      </c>
      <c r="F21" s="68" t="str">
        <f t="shared" si="5"/>
        <v/>
      </c>
      <c r="G21" s="19" t="s">
        <v>50</v>
      </c>
      <c r="H21" s="65">
        <v>2680</v>
      </c>
      <c r="I21" s="71" t="str">
        <f t="shared" si="6"/>
        <v/>
      </c>
      <c r="J21" s="90">
        <f t="shared" si="7"/>
        <v>45771</v>
      </c>
      <c r="K21" s="91" t="str">
        <f t="shared" si="0"/>
        <v>木</v>
      </c>
      <c r="L21" s="19" t="s">
        <v>50</v>
      </c>
      <c r="M21" s="65">
        <v>2680</v>
      </c>
      <c r="N21" s="68" t="str">
        <f t="shared" si="1"/>
        <v/>
      </c>
      <c r="O21" s="19" t="s">
        <v>50</v>
      </c>
      <c r="P21" s="65">
        <v>2680</v>
      </c>
      <c r="Q21" s="70" t="str">
        <f t="shared" si="2"/>
        <v/>
      </c>
    </row>
    <row r="22" spans="1:26" ht="21" customHeight="1">
      <c r="A22" s="20"/>
      <c r="B22" s="90">
        <f t="shared" si="3"/>
        <v>45757</v>
      </c>
      <c r="C22" s="91" t="str">
        <f t="shared" si="4"/>
        <v>木</v>
      </c>
      <c r="D22" s="19" t="s">
        <v>50</v>
      </c>
      <c r="E22" s="65">
        <v>2680</v>
      </c>
      <c r="F22" s="68" t="str">
        <f t="shared" si="5"/>
        <v/>
      </c>
      <c r="G22" s="19"/>
      <c r="H22" s="65"/>
      <c r="I22" s="71" t="str">
        <f t="shared" si="6"/>
        <v/>
      </c>
      <c r="J22" s="90">
        <f t="shared" si="7"/>
        <v>45772</v>
      </c>
      <c r="K22" s="91" t="str">
        <f t="shared" si="0"/>
        <v>金</v>
      </c>
      <c r="L22" s="19" t="s">
        <v>50</v>
      </c>
      <c r="M22" s="65">
        <v>2680</v>
      </c>
      <c r="N22" s="68" t="str">
        <f t="shared" si="1"/>
        <v/>
      </c>
      <c r="O22" s="19" t="s">
        <v>50</v>
      </c>
      <c r="P22" s="65">
        <v>2680</v>
      </c>
      <c r="Q22" s="70" t="str">
        <f t="shared" si="2"/>
        <v/>
      </c>
    </row>
    <row r="23" spans="1:26" ht="21" customHeight="1">
      <c r="A23" s="20"/>
      <c r="B23" s="90">
        <f t="shared" si="3"/>
        <v>45758</v>
      </c>
      <c r="C23" s="91" t="str">
        <f t="shared" si="4"/>
        <v>金</v>
      </c>
      <c r="D23" s="19"/>
      <c r="E23" s="65"/>
      <c r="F23" s="68" t="str">
        <f t="shared" si="5"/>
        <v/>
      </c>
      <c r="G23" s="19" t="s">
        <v>50</v>
      </c>
      <c r="H23" s="65">
        <v>2680</v>
      </c>
      <c r="I23" s="71" t="str">
        <f t="shared" si="6"/>
        <v/>
      </c>
      <c r="J23" s="90">
        <f t="shared" si="7"/>
        <v>45773</v>
      </c>
      <c r="K23" s="91" t="str">
        <f t="shared" si="0"/>
        <v>土</v>
      </c>
      <c r="L23" s="21"/>
      <c r="M23" s="65"/>
      <c r="N23" s="68" t="str">
        <f t="shared" si="1"/>
        <v/>
      </c>
      <c r="O23" s="21"/>
      <c r="P23" s="65"/>
      <c r="Q23" s="70" t="str">
        <f t="shared" si="2"/>
        <v/>
      </c>
    </row>
    <row r="24" spans="1:26" ht="21" customHeight="1">
      <c r="A24" s="20"/>
      <c r="B24" s="90">
        <f t="shared" si="3"/>
        <v>45759</v>
      </c>
      <c r="C24" s="91" t="str">
        <f t="shared" si="4"/>
        <v>土</v>
      </c>
      <c r="D24" s="19"/>
      <c r="E24" s="65"/>
      <c r="F24" s="68" t="str">
        <f t="shared" si="5"/>
        <v/>
      </c>
      <c r="G24" s="19"/>
      <c r="H24" s="65"/>
      <c r="I24" s="71" t="str">
        <f t="shared" si="6"/>
        <v/>
      </c>
      <c r="J24" s="90">
        <f t="shared" si="7"/>
        <v>45774</v>
      </c>
      <c r="K24" s="91" t="str">
        <f t="shared" si="0"/>
        <v>日</v>
      </c>
      <c r="L24" s="21"/>
      <c r="M24" s="65"/>
      <c r="N24" s="68" t="str">
        <f t="shared" si="1"/>
        <v/>
      </c>
      <c r="O24" s="21"/>
      <c r="P24" s="65"/>
      <c r="Q24" s="70" t="str">
        <f t="shared" si="2"/>
        <v/>
      </c>
    </row>
    <row r="25" spans="1:26" ht="21" customHeight="1">
      <c r="A25" s="20"/>
      <c r="B25" s="90">
        <f t="shared" si="3"/>
        <v>45760</v>
      </c>
      <c r="C25" s="91" t="str">
        <f t="shared" si="4"/>
        <v>日</v>
      </c>
      <c r="D25" s="19"/>
      <c r="E25" s="65"/>
      <c r="F25" s="68" t="str">
        <f t="shared" si="5"/>
        <v/>
      </c>
      <c r="G25" s="19"/>
      <c r="H25" s="65"/>
      <c r="I25" s="71" t="str">
        <f t="shared" si="6"/>
        <v/>
      </c>
      <c r="J25" s="90">
        <f t="shared" si="7"/>
        <v>45775</v>
      </c>
      <c r="K25" s="91" t="str">
        <f t="shared" si="0"/>
        <v>月</v>
      </c>
      <c r="L25" s="19" t="s">
        <v>50</v>
      </c>
      <c r="M25" s="65">
        <v>2680</v>
      </c>
      <c r="N25" s="68" t="str">
        <f t="shared" si="1"/>
        <v/>
      </c>
      <c r="O25" s="19" t="s">
        <v>50</v>
      </c>
      <c r="P25" s="65">
        <v>2680</v>
      </c>
      <c r="Q25" s="70" t="str">
        <f t="shared" si="2"/>
        <v/>
      </c>
    </row>
    <row r="26" spans="1:26" ht="21" customHeight="1">
      <c r="A26" s="20"/>
      <c r="B26" s="90">
        <f t="shared" si="3"/>
        <v>45761</v>
      </c>
      <c r="C26" s="91" t="str">
        <f t="shared" si="4"/>
        <v>月</v>
      </c>
      <c r="D26" s="19" t="s">
        <v>50</v>
      </c>
      <c r="E26" s="65">
        <v>2680</v>
      </c>
      <c r="F26" s="68" t="str">
        <f t="shared" si="5"/>
        <v/>
      </c>
      <c r="G26" s="19" t="s">
        <v>50</v>
      </c>
      <c r="H26" s="65">
        <v>2680</v>
      </c>
      <c r="I26" s="71" t="str">
        <f t="shared" si="6"/>
        <v/>
      </c>
      <c r="J26" s="90">
        <f t="shared" si="7"/>
        <v>45776</v>
      </c>
      <c r="K26" s="91" t="str">
        <f t="shared" si="0"/>
        <v>火</v>
      </c>
      <c r="L26" s="19"/>
      <c r="M26" s="65"/>
      <c r="N26" s="68" t="str">
        <f t="shared" si="1"/>
        <v/>
      </c>
      <c r="O26" s="19"/>
      <c r="P26" s="65"/>
      <c r="Q26" s="70" t="str">
        <f t="shared" si="2"/>
        <v/>
      </c>
    </row>
    <row r="27" spans="1:26" ht="21" customHeight="1" thickBot="1">
      <c r="A27" s="20"/>
      <c r="B27" s="92">
        <f t="shared" si="3"/>
        <v>45762</v>
      </c>
      <c r="C27" s="93" t="str">
        <f t="shared" si="4"/>
        <v>火</v>
      </c>
      <c r="D27" s="19" t="s">
        <v>50</v>
      </c>
      <c r="E27" s="65">
        <v>2590</v>
      </c>
      <c r="F27" s="69" t="str">
        <f t="shared" si="5"/>
        <v/>
      </c>
      <c r="G27" s="19" t="s">
        <v>50</v>
      </c>
      <c r="H27" s="65">
        <v>2680</v>
      </c>
      <c r="I27" s="72" t="str">
        <f t="shared" si="6"/>
        <v/>
      </c>
      <c r="J27" s="92">
        <f t="shared" si="7"/>
        <v>45777</v>
      </c>
      <c r="K27" s="93" t="str">
        <f t="shared" si="0"/>
        <v>水</v>
      </c>
      <c r="L27" s="19" t="s">
        <v>50</v>
      </c>
      <c r="M27" s="65">
        <v>2680</v>
      </c>
      <c r="N27" s="68" t="str">
        <f t="shared" si="1"/>
        <v/>
      </c>
      <c r="O27" s="19" t="s">
        <v>50</v>
      </c>
      <c r="P27" s="65">
        <v>2680</v>
      </c>
      <c r="Q27" s="70" t="str">
        <f t="shared" si="2"/>
        <v/>
      </c>
    </row>
    <row r="28" spans="1:26" ht="21" customHeight="1" thickBot="1">
      <c r="A28" s="2"/>
      <c r="B28" s="4"/>
      <c r="C28" s="2"/>
      <c r="D28" s="23"/>
      <c r="E28" s="23"/>
      <c r="F28" s="23"/>
      <c r="G28" s="23"/>
      <c r="H28" s="23"/>
      <c r="I28" s="20"/>
      <c r="J28" s="88" t="str">
        <f>IF(J27=$E$57,"-",IF(J27="-","-",J27+1))</f>
        <v>-</v>
      </c>
      <c r="K28" s="89" t="str">
        <f>IF(J28="-","-",TEXT(WEEKDAY(J28),"aaa"))</f>
        <v>-</v>
      </c>
      <c r="L28" s="54"/>
      <c r="M28" s="60"/>
      <c r="N28" s="73" t="str">
        <f t="shared" si="1"/>
        <v/>
      </c>
      <c r="O28" s="53"/>
      <c r="P28" s="66"/>
      <c r="Q28" s="74" t="str">
        <f t="shared" si="2"/>
        <v/>
      </c>
    </row>
    <row r="29" spans="1:26" ht="21" customHeight="1" thickBot="1">
      <c r="A29" s="2"/>
      <c r="B29" s="4"/>
      <c r="C29" s="2"/>
      <c r="D29" s="23"/>
      <c r="E29" s="23"/>
      <c r="F29" s="23"/>
      <c r="G29" s="23"/>
      <c r="H29" s="23"/>
      <c r="I29" s="24"/>
      <c r="J29" s="132" t="s">
        <v>14</v>
      </c>
      <c r="K29" s="133"/>
      <c r="L29" s="77">
        <f>COUNTA(D13:D27,L13:L28)</f>
        <v>20</v>
      </c>
      <c r="M29" s="78">
        <f>SUM(E13:E27,M13:M28)</f>
        <v>53510</v>
      </c>
      <c r="N29" s="75"/>
      <c r="O29" s="79">
        <f>COUNTA(G13:G27,O13:O28)</f>
        <v>20</v>
      </c>
      <c r="P29" s="78">
        <f>SUM(H13:H27,P13:P28)</f>
        <v>53510</v>
      </c>
      <c r="Q29" s="76"/>
    </row>
    <row r="30" spans="1:26" ht="21" customHeight="1">
      <c r="A30" s="2"/>
      <c r="B30" s="4"/>
      <c r="C30" s="2"/>
      <c r="D30" s="23"/>
      <c r="E30" s="23"/>
      <c r="F30" s="23"/>
      <c r="G30" s="23"/>
      <c r="H30" s="23"/>
      <c r="I30" s="24"/>
      <c r="J30" s="17"/>
      <c r="K30" s="17"/>
      <c r="Q30" s="24"/>
    </row>
    <row r="31" spans="1:26" ht="21" customHeight="1"/>
    <row r="32" spans="1:26" ht="18" customHeight="1">
      <c r="A32" s="6"/>
      <c r="B32" s="134" t="s">
        <v>38</v>
      </c>
      <c r="C32" s="134"/>
      <c r="D32" s="6"/>
      <c r="E32" s="135" t="s">
        <v>40</v>
      </c>
      <c r="F32" s="135"/>
      <c r="G32" s="135"/>
      <c r="H32" s="135"/>
      <c r="I32" s="6"/>
      <c r="J32" s="136" t="s">
        <v>39</v>
      </c>
      <c r="K32" s="137"/>
      <c r="L32" s="137"/>
      <c r="M32" s="138"/>
      <c r="N32" s="6"/>
      <c r="O32" s="139" t="s">
        <v>31</v>
      </c>
      <c r="P32" s="140"/>
      <c r="Q32" s="140"/>
      <c r="R32" s="141"/>
      <c r="W32" s="25"/>
      <c r="Y32" s="47"/>
      <c r="Z32" s="47"/>
    </row>
    <row r="33" spans="1:23" ht="18" customHeight="1">
      <c r="A33" s="6"/>
      <c r="B33" s="147">
        <f>L29+O29</f>
        <v>40</v>
      </c>
      <c r="C33" s="147"/>
      <c r="D33" s="6"/>
      <c r="E33" s="148">
        <f>M29+P29</f>
        <v>107020</v>
      </c>
      <c r="F33" s="149"/>
      <c r="G33" s="149"/>
      <c r="H33" s="26" t="s">
        <v>6</v>
      </c>
      <c r="I33" s="6"/>
      <c r="J33" s="148">
        <f>IF(B33=0,0,E33)</f>
        <v>107020</v>
      </c>
      <c r="K33" s="149"/>
      <c r="L33" s="149"/>
      <c r="M33" s="26" t="s">
        <v>6</v>
      </c>
      <c r="N33" s="6"/>
      <c r="O33" s="148">
        <f>E33-M7</f>
        <v>-5540</v>
      </c>
      <c r="P33" s="149"/>
      <c r="Q33" s="149"/>
      <c r="R33" s="26" t="s">
        <v>6</v>
      </c>
      <c r="W33" s="27"/>
    </row>
    <row r="34" spans="1:23" ht="18" customHeight="1">
      <c r="A34" s="6"/>
      <c r="B34" s="6"/>
      <c r="C34" s="6"/>
      <c r="D34" s="6"/>
      <c r="E34" s="150" t="str">
        <f>IF(E33&gt;M7,"要確認！
加算額を超えています！","加算額以下ＯＫ")</f>
        <v>加算額以下ＯＫ</v>
      </c>
      <c r="F34" s="151"/>
      <c r="G34" s="151"/>
      <c r="H34" s="152"/>
      <c r="I34" s="6"/>
      <c r="J34" s="6"/>
      <c r="K34" s="6"/>
      <c r="L34" s="6"/>
      <c r="M34" s="6"/>
      <c r="N34" s="6"/>
      <c r="O34" s="156" t="str">
        <f>IF(O33&gt;0,"増額調整",IF(O33=0,"調整不要",IF(O33&lt;0,"減額調整")))</f>
        <v>減額調整</v>
      </c>
      <c r="P34" s="157"/>
      <c r="Q34" s="157"/>
      <c r="R34" s="158"/>
    </row>
    <row r="35" spans="1:23" ht="18" customHeight="1">
      <c r="A35" s="6"/>
      <c r="B35" s="6"/>
      <c r="C35" s="6"/>
      <c r="D35" s="6"/>
      <c r="E35" s="153"/>
      <c r="F35" s="154"/>
      <c r="G35" s="154"/>
      <c r="H35" s="155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23" ht="18" customHeight="1">
      <c r="A36" s="6"/>
      <c r="B36" s="6"/>
      <c r="C36" s="6"/>
      <c r="D36" s="6"/>
      <c r="E36" s="83"/>
      <c r="F36" s="83"/>
      <c r="G36" s="83"/>
      <c r="H36" s="83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23" ht="18" customHeight="1">
      <c r="A37" s="6"/>
      <c r="B37" s="6"/>
      <c r="C37" s="6"/>
      <c r="D37" s="6"/>
      <c r="E37" s="83"/>
      <c r="F37" s="83"/>
      <c r="G37" s="83"/>
      <c r="H37" s="83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23" ht="18" customHeight="1">
      <c r="A38" s="46" t="s">
        <v>15</v>
      </c>
      <c r="B38" s="6"/>
      <c r="C38" s="6"/>
      <c r="D38" s="6"/>
      <c r="E38" s="6"/>
      <c r="F38" s="6"/>
      <c r="G38" s="6"/>
      <c r="H38" s="6"/>
      <c r="I38" s="52"/>
      <c r="J38" s="4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3" ht="18" customHeight="1">
      <c r="A39" s="46" t="s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3" ht="18" customHeight="1">
      <c r="A40" s="46" t="s">
        <v>24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3" ht="18" customHeight="1">
      <c r="A41" s="46" t="s">
        <v>37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02"/>
      <c r="S41" s="6"/>
      <c r="T41" s="6"/>
      <c r="U41" s="6"/>
    </row>
    <row r="42" spans="1:23" ht="17.25" customHeight="1">
      <c r="A42" s="46" t="s">
        <v>34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02"/>
      <c r="S42" s="6"/>
      <c r="T42" s="6"/>
      <c r="U42" s="6"/>
    </row>
    <row r="43" spans="1:23" ht="16.5" customHeight="1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3" ht="16.5" customHeight="1">
      <c r="A44" s="5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3" ht="16.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6"/>
      <c r="S45" s="6"/>
      <c r="T45" s="6"/>
      <c r="U45" s="6"/>
    </row>
    <row r="46" spans="1:23" ht="16.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6"/>
      <c r="S46" s="6"/>
      <c r="T46" s="6"/>
      <c r="U46" s="6"/>
    </row>
    <row r="47" spans="1:23" ht="16.5" customHeight="1"/>
    <row r="48" spans="1:23" ht="16.5" customHeight="1">
      <c r="B48" s="49" t="s">
        <v>3</v>
      </c>
      <c r="C48" s="28" t="s">
        <v>16</v>
      </c>
      <c r="D48" s="29" t="s">
        <v>17</v>
      </c>
      <c r="E48" s="30"/>
      <c r="F48" s="31"/>
      <c r="G48" s="56"/>
      <c r="H48" s="2"/>
      <c r="I48" s="32"/>
    </row>
    <row r="49" spans="2:12" ht="16.5" customHeight="1">
      <c r="B49" s="33">
        <v>5</v>
      </c>
      <c r="C49" s="48">
        <v>1</v>
      </c>
      <c r="D49" s="34" t="s">
        <v>41</v>
      </c>
      <c r="E49" s="35"/>
      <c r="F49" s="36"/>
      <c r="G49" s="57"/>
      <c r="H49" s="2"/>
      <c r="I49" s="37"/>
    </row>
    <row r="50" spans="2:12" ht="16.5" customHeight="1">
      <c r="B50" s="33">
        <v>6</v>
      </c>
      <c r="C50" s="48">
        <v>2</v>
      </c>
      <c r="D50" s="34" t="s">
        <v>32</v>
      </c>
      <c r="E50" s="35"/>
      <c r="F50" s="36"/>
      <c r="G50" s="56"/>
      <c r="H50" s="2"/>
      <c r="I50" s="37"/>
      <c r="J50" s="38"/>
      <c r="K50" s="38"/>
      <c r="L50" s="39"/>
    </row>
    <row r="51" spans="2:12" ht="16.5" customHeight="1">
      <c r="B51" s="33">
        <v>7</v>
      </c>
      <c r="C51" s="48">
        <v>3</v>
      </c>
      <c r="D51" s="34" t="s">
        <v>18</v>
      </c>
      <c r="E51" s="35"/>
      <c r="F51" s="36"/>
      <c r="G51" s="57"/>
      <c r="H51" s="2"/>
      <c r="I51" s="40"/>
      <c r="J51" s="38"/>
      <c r="K51" s="38"/>
      <c r="L51" s="39"/>
    </row>
    <row r="52" spans="2:12" ht="16.5" customHeight="1">
      <c r="B52" s="33">
        <v>8</v>
      </c>
      <c r="C52" s="48">
        <v>4</v>
      </c>
      <c r="D52" s="34" t="s">
        <v>12</v>
      </c>
      <c r="E52" s="35"/>
      <c r="F52" s="36"/>
      <c r="G52" s="57"/>
      <c r="H52" s="2"/>
      <c r="I52" s="41"/>
      <c r="J52" s="38"/>
      <c r="K52" s="38"/>
      <c r="L52" s="39"/>
    </row>
    <row r="53" spans="2:12" ht="16.5" customHeight="1">
      <c r="B53" s="45"/>
      <c r="C53" s="28">
        <v>5</v>
      </c>
      <c r="D53" s="34" t="s">
        <v>13</v>
      </c>
      <c r="E53" s="35"/>
      <c r="F53" s="36"/>
      <c r="G53" s="57"/>
      <c r="H53" s="2"/>
      <c r="I53" s="41"/>
      <c r="J53" s="38"/>
      <c r="K53" s="38"/>
      <c r="L53" s="39"/>
    </row>
    <row r="54" spans="2:12" ht="16.5" customHeight="1">
      <c r="B54" s="45"/>
      <c r="C54" s="28">
        <v>6</v>
      </c>
      <c r="D54" s="34" t="s">
        <v>19</v>
      </c>
      <c r="E54" s="35"/>
      <c r="F54" s="36"/>
      <c r="G54" s="57"/>
      <c r="H54" s="2"/>
      <c r="I54" s="41"/>
      <c r="J54" s="38"/>
      <c r="K54" s="38"/>
      <c r="L54" s="39"/>
    </row>
    <row r="55" spans="2:12" ht="16.5" customHeight="1">
      <c r="B55" s="45"/>
      <c r="C55" s="28">
        <v>7</v>
      </c>
      <c r="D55" s="34" t="s">
        <v>20</v>
      </c>
      <c r="E55" s="35"/>
      <c r="F55" s="36"/>
      <c r="G55" s="57"/>
      <c r="H55" s="2"/>
      <c r="I55" s="41"/>
      <c r="J55" s="38"/>
      <c r="K55" s="38"/>
      <c r="L55" s="39"/>
    </row>
    <row r="56" spans="2:12" ht="16.5" customHeight="1">
      <c r="B56" s="45"/>
      <c r="C56" s="28">
        <v>8</v>
      </c>
      <c r="D56" s="28" t="s">
        <v>21</v>
      </c>
      <c r="E56" s="143">
        <f>DATE($B$5+2018,$D$5,1)</f>
        <v>45748</v>
      </c>
      <c r="F56" s="144"/>
      <c r="G56" s="57"/>
      <c r="H56" s="2"/>
      <c r="I56" s="41"/>
      <c r="J56" s="38"/>
      <c r="K56" s="38"/>
      <c r="L56" s="39"/>
    </row>
    <row r="57" spans="2:12" ht="16.5" customHeight="1">
      <c r="B57" s="42"/>
      <c r="C57" s="28">
        <v>9</v>
      </c>
      <c r="D57" s="28" t="s">
        <v>22</v>
      </c>
      <c r="E57" s="145">
        <f>DATE(YEAR($E$56),MONTH($E$56)+1,1)-1</f>
        <v>45777</v>
      </c>
      <c r="F57" s="146"/>
      <c r="G57" s="58"/>
      <c r="H57" s="2"/>
      <c r="I57" s="41"/>
      <c r="J57" s="38"/>
      <c r="K57" s="38"/>
      <c r="L57" s="39"/>
    </row>
    <row r="58" spans="2:12" ht="16.5" customHeight="1">
      <c r="B58" s="42"/>
      <c r="C58" s="28">
        <v>10</v>
      </c>
      <c r="D58" s="43"/>
      <c r="E58" s="43"/>
      <c r="F58" s="43"/>
      <c r="G58" s="59"/>
      <c r="H58" s="38"/>
      <c r="I58" s="38"/>
      <c r="J58" s="39"/>
    </row>
    <row r="59" spans="2:12" ht="16.5" customHeight="1">
      <c r="B59" s="42"/>
      <c r="C59" s="28">
        <v>11</v>
      </c>
      <c r="D59" s="43"/>
      <c r="E59" s="43"/>
      <c r="F59" s="43"/>
      <c r="G59" s="43"/>
      <c r="H59" s="38"/>
      <c r="I59" s="38"/>
      <c r="J59" s="39"/>
    </row>
    <row r="60" spans="2:12" ht="16.5" customHeight="1">
      <c r="B60" s="42"/>
      <c r="C60" s="28">
        <v>12</v>
      </c>
      <c r="D60" s="38"/>
      <c r="E60" s="38"/>
      <c r="F60" s="38"/>
      <c r="G60" s="43"/>
      <c r="H60" s="38"/>
      <c r="I60" s="38"/>
      <c r="J60" s="39"/>
    </row>
    <row r="61" spans="2:12" ht="16.5" customHeight="1">
      <c r="B61" s="44"/>
      <c r="C61" s="28"/>
      <c r="D61" s="38"/>
      <c r="E61" s="38"/>
      <c r="F61" s="38"/>
      <c r="G61" s="38"/>
      <c r="H61" s="38"/>
      <c r="I61" s="38"/>
      <c r="J61" s="39"/>
    </row>
    <row r="62" spans="2:12" ht="16.5" customHeight="1">
      <c r="D62" s="38"/>
      <c r="E62" s="38"/>
      <c r="F62" s="38"/>
      <c r="G62" s="38"/>
      <c r="H62" s="38"/>
      <c r="I62" s="38"/>
      <c r="J62" s="39"/>
    </row>
    <row r="63" spans="2:12" ht="16.5" customHeight="1">
      <c r="D63" s="38"/>
      <c r="E63" s="38"/>
      <c r="F63" s="38"/>
      <c r="G63" s="38"/>
      <c r="H63" s="38"/>
      <c r="I63" s="38"/>
      <c r="J63" s="39"/>
    </row>
    <row r="64" spans="2:12" ht="16.5" customHeight="1">
      <c r="D64" s="38"/>
      <c r="E64" s="38"/>
      <c r="F64" s="38"/>
      <c r="G64" s="38"/>
      <c r="H64" s="38"/>
      <c r="I64" s="38"/>
      <c r="J64" s="39"/>
    </row>
    <row r="65" spans="4:10" ht="16.5" customHeight="1">
      <c r="D65" s="38"/>
      <c r="E65" s="38"/>
      <c r="F65" s="38"/>
      <c r="G65" s="38"/>
      <c r="H65" s="38"/>
      <c r="I65" s="38"/>
      <c r="J65" s="39"/>
    </row>
    <row r="66" spans="4:10" ht="16.5" customHeight="1">
      <c r="D66" s="38"/>
      <c r="E66" s="38"/>
      <c r="F66" s="38"/>
      <c r="G66" s="38"/>
      <c r="H66" s="38"/>
      <c r="I66" s="38"/>
      <c r="J66" s="39"/>
    </row>
    <row r="67" spans="4:10" ht="16.5" customHeight="1">
      <c r="D67" s="38"/>
      <c r="E67" s="38"/>
      <c r="F67" s="38"/>
      <c r="G67" s="38"/>
      <c r="H67" s="38"/>
      <c r="I67" s="38"/>
      <c r="J67" s="39"/>
    </row>
    <row r="68" spans="4:10" ht="16.5" customHeight="1">
      <c r="D68" s="38"/>
      <c r="E68" s="38"/>
      <c r="F68" s="38"/>
      <c r="G68" s="38"/>
      <c r="H68" s="38"/>
      <c r="I68" s="38"/>
      <c r="J68" s="39"/>
    </row>
    <row r="69" spans="4:10" ht="16.5" customHeight="1">
      <c r="G69" s="38"/>
      <c r="H69" s="38"/>
      <c r="I69" s="38"/>
      <c r="J69" s="39"/>
    </row>
    <row r="70" spans="4:10" ht="16.5" customHeight="1">
      <c r="H70" s="38"/>
      <c r="I70" s="38"/>
      <c r="J70" s="39"/>
    </row>
    <row r="71" spans="4:10" ht="16.5" customHeight="1"/>
  </sheetData>
  <sheetProtection selectLockedCells="1"/>
  <mergeCells count="34">
    <mergeCell ref="A45:Q46"/>
    <mergeCell ref="E56:F56"/>
    <mergeCell ref="E57:F57"/>
    <mergeCell ref="B33:C33"/>
    <mergeCell ref="E33:G33"/>
    <mergeCell ref="J33:L33"/>
    <mergeCell ref="O33:Q33"/>
    <mergeCell ref="E34:H35"/>
    <mergeCell ref="O34:R34"/>
    <mergeCell ref="J29:K29"/>
    <mergeCell ref="B32:C32"/>
    <mergeCell ref="E32:H32"/>
    <mergeCell ref="J32:M32"/>
    <mergeCell ref="O32:R32"/>
    <mergeCell ref="J6:L6"/>
    <mergeCell ref="M6:P6"/>
    <mergeCell ref="J7:L7"/>
    <mergeCell ref="M7:P7"/>
    <mergeCell ref="B11:B12"/>
    <mergeCell ref="C11:C12"/>
    <mergeCell ref="D11:F11"/>
    <mergeCell ref="G11:I11"/>
    <mergeCell ref="J11:J12"/>
    <mergeCell ref="K11:K12"/>
    <mergeCell ref="L11:N11"/>
    <mergeCell ref="O11:Q11"/>
    <mergeCell ref="J5:L5"/>
    <mergeCell ref="M5:N5"/>
    <mergeCell ref="P5:Q5"/>
    <mergeCell ref="A1:S1"/>
    <mergeCell ref="A3:B3"/>
    <mergeCell ref="C3:H3"/>
    <mergeCell ref="K3:L3"/>
    <mergeCell ref="N3:Q3"/>
  </mergeCells>
  <phoneticPr fontId="19"/>
  <conditionalFormatting sqref="F13:F27 I13:I27 N13:N28 Q13:Q28">
    <cfRule type="containsText" dxfId="35" priority="31" stopIfTrue="1" operator="containsText" text="×">
      <formula>NOT(ISERROR(SEARCH("×",F13)))</formula>
    </cfRule>
  </conditionalFormatting>
  <conditionalFormatting sqref="J33:L33">
    <cfRule type="cellIs" dxfId="34" priority="30" stopIfTrue="1" operator="greaterThan">
      <formula>$M$7</formula>
    </cfRule>
  </conditionalFormatting>
  <conditionalFormatting sqref="G18 L28 O28 D13:D19 D24:D26">
    <cfRule type="cellIs" dxfId="30" priority="29" operator="notEqual">
      <formula>"〇"</formula>
    </cfRule>
  </conditionalFormatting>
  <conditionalFormatting sqref="G13:G17">
    <cfRule type="cellIs" dxfId="29" priority="28" operator="notEqual">
      <formula>"〇"</formula>
    </cfRule>
  </conditionalFormatting>
  <conditionalFormatting sqref="D19:D24">
    <cfRule type="cellIs" dxfId="28" priority="27" operator="notEqual">
      <formula>"〇"</formula>
    </cfRule>
  </conditionalFormatting>
  <conditionalFormatting sqref="D27">
    <cfRule type="cellIs" dxfId="24" priority="25" operator="notEqual">
      <formula>"〇"</formula>
    </cfRule>
  </conditionalFormatting>
  <conditionalFormatting sqref="L17:L18 L23:L25">
    <cfRule type="cellIs" dxfId="22" priority="23" operator="notEqual">
      <formula>"〇"</formula>
    </cfRule>
  </conditionalFormatting>
  <conditionalFormatting sqref="L13:L16">
    <cfRule type="cellIs" dxfId="21" priority="22" operator="notEqual">
      <formula>"〇"</formula>
    </cfRule>
  </conditionalFormatting>
  <conditionalFormatting sqref="L18:L23">
    <cfRule type="cellIs" dxfId="20" priority="21" operator="notEqual">
      <formula>"〇"</formula>
    </cfRule>
  </conditionalFormatting>
  <conditionalFormatting sqref="L26">
    <cfRule type="cellIs" dxfId="19" priority="20" operator="notEqual">
      <formula>"〇"</formula>
    </cfRule>
  </conditionalFormatting>
  <conditionalFormatting sqref="L27">
    <cfRule type="cellIs" dxfId="18" priority="19" operator="notEqual">
      <formula>"〇"</formula>
    </cfRule>
  </conditionalFormatting>
  <conditionalFormatting sqref="O17">
    <cfRule type="cellIs" dxfId="17" priority="18" operator="notEqual">
      <formula>"〇"</formula>
    </cfRule>
  </conditionalFormatting>
  <conditionalFormatting sqref="O13:O16">
    <cfRule type="cellIs" dxfId="16" priority="17" operator="notEqual">
      <formula>"〇"</formula>
    </cfRule>
  </conditionalFormatting>
  <conditionalFormatting sqref="D26">
    <cfRule type="cellIs" dxfId="12" priority="13" operator="notEqual">
      <formula>"〇"</formula>
    </cfRule>
  </conditionalFormatting>
  <conditionalFormatting sqref="G19 G24:G26">
    <cfRule type="cellIs" dxfId="11" priority="12" operator="notEqual">
      <formula>"〇"</formula>
    </cfRule>
  </conditionalFormatting>
  <conditionalFormatting sqref="G19:G24">
    <cfRule type="cellIs" dxfId="10" priority="11" operator="notEqual">
      <formula>"〇"</formula>
    </cfRule>
  </conditionalFormatting>
  <conditionalFormatting sqref="G27">
    <cfRule type="cellIs" dxfId="9" priority="10" operator="notEqual">
      <formula>"〇"</formula>
    </cfRule>
  </conditionalFormatting>
  <conditionalFormatting sqref="G26">
    <cfRule type="cellIs" dxfId="8" priority="9" operator="notEqual">
      <formula>"〇"</formula>
    </cfRule>
  </conditionalFormatting>
  <conditionalFormatting sqref="L25">
    <cfRule type="cellIs" dxfId="7" priority="8" operator="notEqual">
      <formula>"〇"</formula>
    </cfRule>
  </conditionalFormatting>
  <conditionalFormatting sqref="L26">
    <cfRule type="cellIs" dxfId="6" priority="7" operator="notEqual">
      <formula>"〇"</formula>
    </cfRule>
  </conditionalFormatting>
  <conditionalFormatting sqref="O18 O23:O25">
    <cfRule type="cellIs" dxfId="5" priority="6" operator="notEqual">
      <formula>"〇"</formula>
    </cfRule>
  </conditionalFormatting>
  <conditionalFormatting sqref="O18:O23">
    <cfRule type="cellIs" dxfId="4" priority="5" operator="notEqual">
      <formula>"〇"</formula>
    </cfRule>
  </conditionalFormatting>
  <conditionalFormatting sqref="O26">
    <cfRule type="cellIs" dxfId="3" priority="4" operator="notEqual">
      <formula>"〇"</formula>
    </cfRule>
  </conditionalFormatting>
  <conditionalFormatting sqref="O27">
    <cfRule type="cellIs" dxfId="2" priority="3" operator="notEqual">
      <formula>"〇"</formula>
    </cfRule>
  </conditionalFormatting>
  <conditionalFormatting sqref="O25">
    <cfRule type="cellIs" dxfId="1" priority="2" operator="notEqual">
      <formula>"〇"</formula>
    </cfRule>
  </conditionalFormatting>
  <conditionalFormatting sqref="O26">
    <cfRule type="cellIs" dxfId="0" priority="1" operator="notEqual">
      <formula>"〇"</formula>
    </cfRule>
  </conditionalFormatting>
  <dataValidations count="3">
    <dataValidation type="list" allowBlank="1" showInputMessage="1" showErrorMessage="1" sqref="L13:L28 G13:G27 D13:D27 O13:O28" xr:uid="{00000000-0002-0000-0000-000000000000}">
      <formula1>$D$49:$D$55</formula1>
    </dataValidation>
    <dataValidation type="list" allowBlank="1" showInputMessage="1" showErrorMessage="1" sqref="D5:D6" xr:uid="{00000000-0002-0000-0000-000001000000}">
      <formula1>$C$49:$C$61</formula1>
    </dataValidation>
    <dataValidation type="list" allowBlank="1" showInputMessage="1" showErrorMessage="1" sqref="B5:B6" xr:uid="{00000000-0002-0000-0000-000002000000}">
      <formula1>$B$49:$B$55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portrait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71"/>
  <sheetViews>
    <sheetView view="pageBreakPreview" topLeftCell="A4" zoomScaleNormal="100" zoomScaleSheetLayoutView="100" workbookViewId="0">
      <selection activeCell="K4" sqref="K4"/>
    </sheetView>
  </sheetViews>
  <sheetFormatPr defaultColWidth="5.88671875" defaultRowHeight="36" customHeight="1"/>
  <cols>
    <col min="1" max="1" width="6.77734375" style="4" customWidth="1"/>
    <col min="2" max="2" width="6.109375" style="2" customWidth="1"/>
    <col min="3" max="3" width="6.109375" style="4" customWidth="1"/>
    <col min="4" max="4" width="6.77734375" style="4" customWidth="1"/>
    <col min="5" max="5" width="7.88671875" style="4" customWidth="1"/>
    <col min="6" max="6" width="5.77734375" style="4" customWidth="1"/>
    <col min="7" max="7" width="6.77734375" style="4" customWidth="1"/>
    <col min="8" max="8" width="7.88671875" style="4" customWidth="1"/>
    <col min="9" max="9" width="5.88671875" style="4" customWidth="1"/>
    <col min="10" max="11" width="6.109375" style="2" customWidth="1"/>
    <col min="12" max="12" width="6.77734375" style="2" customWidth="1"/>
    <col min="13" max="13" width="7.88671875" style="2" customWidth="1"/>
    <col min="14" max="14" width="6.109375" style="2" customWidth="1"/>
    <col min="15" max="15" width="6.77734375" style="2" customWidth="1"/>
    <col min="16" max="16" width="7.88671875" style="2" customWidth="1"/>
    <col min="17" max="17" width="5.77734375" style="2" customWidth="1"/>
    <col min="18" max="23" width="6.77734375" style="2" customWidth="1"/>
    <col min="24" max="24" width="7.21875" style="2" customWidth="1"/>
    <col min="25" max="27" width="5.88671875" style="2"/>
    <col min="28" max="28" width="9.33203125" style="2" bestFit="1" customWidth="1"/>
    <col min="29" max="16384" width="5.88671875" style="2"/>
  </cols>
  <sheetData>
    <row r="1" spans="1:25" ht="24" customHeight="1">
      <c r="A1" s="109" t="s">
        <v>42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82"/>
      <c r="U1" s="82"/>
      <c r="V1" s="82"/>
      <c r="W1" s="1"/>
    </row>
    <row r="2" spans="1:25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5" ht="24" customHeight="1">
      <c r="A3" s="110" t="s">
        <v>0</v>
      </c>
      <c r="B3" s="110"/>
      <c r="C3" s="111" t="s">
        <v>43</v>
      </c>
      <c r="D3" s="111"/>
      <c r="E3" s="111"/>
      <c r="F3" s="111"/>
      <c r="G3" s="111"/>
      <c r="H3" s="111"/>
      <c r="J3" s="84" t="s">
        <v>1</v>
      </c>
      <c r="K3" s="111" t="s">
        <v>45</v>
      </c>
      <c r="L3" s="111"/>
      <c r="M3" s="84" t="s">
        <v>2</v>
      </c>
      <c r="N3" s="111" t="s">
        <v>47</v>
      </c>
      <c r="O3" s="111"/>
      <c r="P3" s="111"/>
      <c r="Q3" s="111"/>
      <c r="R3" s="63"/>
      <c r="S3" s="5"/>
    </row>
    <row r="4" spans="1:25" ht="8.25" customHeight="1">
      <c r="A4" s="6"/>
      <c r="S4" s="7"/>
    </row>
    <row r="5" spans="1:25" ht="24" customHeight="1">
      <c r="A5" s="85" t="s">
        <v>29</v>
      </c>
      <c r="B5" s="3">
        <v>6</v>
      </c>
      <c r="C5" s="8" t="s">
        <v>3</v>
      </c>
      <c r="D5" s="3">
        <v>4</v>
      </c>
      <c r="E5" s="8" t="s">
        <v>4</v>
      </c>
      <c r="J5" s="103" t="s">
        <v>5</v>
      </c>
      <c r="K5" s="104"/>
      <c r="L5" s="105"/>
      <c r="M5" s="106"/>
      <c r="N5" s="107"/>
      <c r="O5" s="9" t="s">
        <v>23</v>
      </c>
      <c r="P5" s="107"/>
      <c r="Q5" s="108"/>
      <c r="R5" s="62"/>
      <c r="S5" s="10"/>
    </row>
    <row r="6" spans="1:25" ht="24" customHeight="1">
      <c r="A6" s="8"/>
      <c r="B6" s="63"/>
      <c r="C6" s="64"/>
      <c r="D6" s="63"/>
      <c r="E6" s="8"/>
      <c r="J6" s="112" t="s">
        <v>36</v>
      </c>
      <c r="K6" s="113"/>
      <c r="L6" s="114"/>
      <c r="M6" s="115"/>
      <c r="N6" s="115"/>
      <c r="O6" s="115"/>
      <c r="P6" s="115"/>
      <c r="Q6" s="15" t="s">
        <v>6</v>
      </c>
      <c r="R6" s="61"/>
      <c r="S6" s="10"/>
    </row>
    <row r="7" spans="1:25" ht="24" customHeight="1">
      <c r="A7" s="6"/>
      <c r="B7" s="11"/>
      <c r="C7" s="12"/>
      <c r="D7" s="13"/>
      <c r="E7" s="12"/>
      <c r="F7" s="14"/>
      <c r="J7" s="112" t="s">
        <v>35</v>
      </c>
      <c r="K7" s="113"/>
      <c r="L7" s="114"/>
      <c r="M7" s="119">
        <f>M6*42</f>
        <v>0</v>
      </c>
      <c r="N7" s="119"/>
      <c r="O7" s="119"/>
      <c r="P7" s="119"/>
      <c r="Q7" s="15" t="s">
        <v>6</v>
      </c>
      <c r="R7" s="61"/>
      <c r="S7" s="16"/>
    </row>
    <row r="8" spans="1:25" ht="24" customHeight="1">
      <c r="A8" s="6"/>
      <c r="B8" s="11"/>
      <c r="C8" s="12"/>
      <c r="D8" s="13"/>
      <c r="E8" s="12"/>
      <c r="F8" s="14"/>
      <c r="J8" s="80"/>
      <c r="K8" s="81"/>
      <c r="L8" s="7"/>
      <c r="M8" s="7"/>
      <c r="N8" s="7"/>
      <c r="O8" s="7"/>
      <c r="P8" s="7"/>
      <c r="Q8" s="61"/>
      <c r="R8" s="61"/>
      <c r="S8" s="16"/>
    </row>
    <row r="9" spans="1:25" ht="24" customHeight="1">
      <c r="A9" s="6"/>
      <c r="B9" s="11"/>
      <c r="C9" s="12"/>
      <c r="D9" s="13"/>
      <c r="E9" s="12"/>
      <c r="F9" s="14"/>
      <c r="J9" s="80"/>
      <c r="K9" s="81"/>
      <c r="L9" s="7"/>
      <c r="M9" s="7"/>
      <c r="N9" s="7"/>
      <c r="O9" s="7"/>
      <c r="P9" s="7"/>
      <c r="Q9" s="61"/>
      <c r="R9" s="61"/>
      <c r="S9" s="16"/>
    </row>
    <row r="10" spans="1:25" ht="24" customHeight="1" thickBot="1">
      <c r="I10" s="4" t="s">
        <v>26</v>
      </c>
      <c r="S10" s="7"/>
    </row>
    <row r="11" spans="1:25" ht="30" customHeight="1">
      <c r="A11" s="17"/>
      <c r="B11" s="120" t="s">
        <v>7</v>
      </c>
      <c r="C11" s="122" t="s">
        <v>8</v>
      </c>
      <c r="D11" s="124" t="s">
        <v>9</v>
      </c>
      <c r="E11" s="125"/>
      <c r="F11" s="126"/>
      <c r="G11" s="124" t="s">
        <v>10</v>
      </c>
      <c r="H11" s="125"/>
      <c r="I11" s="127"/>
      <c r="J11" s="128" t="s">
        <v>7</v>
      </c>
      <c r="K11" s="130" t="s">
        <v>8</v>
      </c>
      <c r="L11" s="124" t="s">
        <v>9</v>
      </c>
      <c r="M11" s="125"/>
      <c r="N11" s="126"/>
      <c r="O11" s="124" t="s">
        <v>10</v>
      </c>
      <c r="P11" s="125"/>
      <c r="Q11" s="127"/>
    </row>
    <row r="12" spans="1:25" s="4" customFormat="1" ht="24.75" customHeight="1">
      <c r="A12" s="18"/>
      <c r="B12" s="121"/>
      <c r="C12" s="123"/>
      <c r="D12" s="94" t="s">
        <v>11</v>
      </c>
      <c r="E12" s="95" t="s">
        <v>30</v>
      </c>
      <c r="F12" s="96" t="s">
        <v>33</v>
      </c>
      <c r="G12" s="94" t="s">
        <v>11</v>
      </c>
      <c r="H12" s="95" t="s">
        <v>30</v>
      </c>
      <c r="I12" s="97" t="s">
        <v>33</v>
      </c>
      <c r="J12" s="129"/>
      <c r="K12" s="131"/>
      <c r="L12" s="94" t="s">
        <v>11</v>
      </c>
      <c r="M12" s="95" t="s">
        <v>30</v>
      </c>
      <c r="N12" s="98" t="s">
        <v>33</v>
      </c>
      <c r="O12" s="99" t="s">
        <v>11</v>
      </c>
      <c r="P12" s="95" t="s">
        <v>30</v>
      </c>
      <c r="Q12" s="97" t="s">
        <v>33</v>
      </c>
    </row>
    <row r="13" spans="1:25" ht="21" customHeight="1">
      <c r="A13" s="20"/>
      <c r="B13" s="90">
        <f>$E$56</f>
        <v>45383</v>
      </c>
      <c r="C13" s="91" t="str">
        <f>IF(B13="-","-",TEXT(WEEKDAY(B13),"aaa"))</f>
        <v>月</v>
      </c>
      <c r="D13" s="19"/>
      <c r="E13" s="65"/>
      <c r="F13" s="68" t="str">
        <f>IF(E13&gt;$M$6,"×","")</f>
        <v/>
      </c>
      <c r="G13" s="21"/>
      <c r="H13" s="67"/>
      <c r="I13" s="70" t="str">
        <f>IF(H13&gt;$M$6,"×","")</f>
        <v/>
      </c>
      <c r="J13" s="86">
        <f>IF(B27=$E$57,"-",IF(B27="-","-",B27+1))</f>
        <v>45398</v>
      </c>
      <c r="K13" s="87" t="str">
        <f t="shared" ref="K13:K27" si="0">IF(J13="-","-",TEXT(WEEKDAY(J13),"aaa"))</f>
        <v>火</v>
      </c>
      <c r="L13" s="19"/>
      <c r="M13" s="65"/>
      <c r="N13" s="68" t="str">
        <f t="shared" ref="N13:N28" si="1">IF(M13&gt;$M$6,"×","")</f>
        <v/>
      </c>
      <c r="O13" s="21"/>
      <c r="P13" s="65"/>
      <c r="Q13" s="74" t="str">
        <f t="shared" ref="Q13:Q28" si="2">IF(P13&gt;$M$6,"×","")</f>
        <v/>
      </c>
    </row>
    <row r="14" spans="1:25" ht="21" customHeight="1">
      <c r="A14" s="20"/>
      <c r="B14" s="90">
        <f t="shared" ref="B14:B27" si="3">IF(B13=$E$57,"-",IF(B13="-","-",B13+1))</f>
        <v>45384</v>
      </c>
      <c r="C14" s="91" t="str">
        <f t="shared" ref="C14:C27" si="4">IF(B14="-","-",TEXT(WEEKDAY(B14),"aaa"))</f>
        <v>火</v>
      </c>
      <c r="D14" s="19"/>
      <c r="E14" s="65"/>
      <c r="F14" s="68" t="str">
        <f t="shared" ref="F14:F27" si="5">IF(E14&gt;$M$6,"×","")</f>
        <v/>
      </c>
      <c r="G14" s="21"/>
      <c r="H14" s="67"/>
      <c r="I14" s="70" t="str">
        <f t="shared" ref="I14:I27" si="6">IF(H14&gt;$M$6,"×","")</f>
        <v/>
      </c>
      <c r="J14" s="86">
        <f t="shared" ref="J14:J27" si="7">IF(J13=$E$57,"-",IF(J13="-","-",J13+1))</f>
        <v>45399</v>
      </c>
      <c r="K14" s="87" t="str">
        <f t="shared" si="0"/>
        <v>水</v>
      </c>
      <c r="L14" s="19"/>
      <c r="M14" s="65"/>
      <c r="N14" s="68" t="str">
        <f t="shared" si="1"/>
        <v/>
      </c>
      <c r="O14" s="21"/>
      <c r="P14" s="65"/>
      <c r="Q14" s="70" t="str">
        <f t="shared" si="2"/>
        <v/>
      </c>
    </row>
    <row r="15" spans="1:25" ht="21" customHeight="1">
      <c r="A15" s="20"/>
      <c r="B15" s="90">
        <f t="shared" si="3"/>
        <v>45385</v>
      </c>
      <c r="C15" s="91" t="str">
        <f t="shared" si="4"/>
        <v>水</v>
      </c>
      <c r="D15" s="19"/>
      <c r="E15" s="65"/>
      <c r="F15" s="68" t="str">
        <f t="shared" si="5"/>
        <v/>
      </c>
      <c r="G15" s="21"/>
      <c r="H15" s="67"/>
      <c r="I15" s="70" t="str">
        <f t="shared" si="6"/>
        <v/>
      </c>
      <c r="J15" s="86">
        <f t="shared" si="7"/>
        <v>45400</v>
      </c>
      <c r="K15" s="87" t="str">
        <f t="shared" si="0"/>
        <v>木</v>
      </c>
      <c r="L15" s="19"/>
      <c r="M15" s="65"/>
      <c r="N15" s="68" t="str">
        <f t="shared" si="1"/>
        <v/>
      </c>
      <c r="O15" s="21"/>
      <c r="P15" s="65"/>
      <c r="Q15" s="70" t="str">
        <f t="shared" si="2"/>
        <v/>
      </c>
    </row>
    <row r="16" spans="1:25" ht="21" customHeight="1">
      <c r="A16" s="20"/>
      <c r="B16" s="90">
        <f t="shared" si="3"/>
        <v>45386</v>
      </c>
      <c r="C16" s="91" t="str">
        <f t="shared" si="4"/>
        <v>木</v>
      </c>
      <c r="D16" s="19"/>
      <c r="E16" s="65"/>
      <c r="F16" s="68" t="str">
        <f t="shared" si="5"/>
        <v/>
      </c>
      <c r="G16" s="21"/>
      <c r="H16" s="65"/>
      <c r="I16" s="71" t="str">
        <f t="shared" si="6"/>
        <v/>
      </c>
      <c r="J16" s="86">
        <f t="shared" si="7"/>
        <v>45401</v>
      </c>
      <c r="K16" s="87" t="str">
        <f t="shared" si="0"/>
        <v>金</v>
      </c>
      <c r="L16" s="19"/>
      <c r="M16" s="65"/>
      <c r="N16" s="68" t="str">
        <f t="shared" si="1"/>
        <v/>
      </c>
      <c r="O16" s="21"/>
      <c r="P16" s="65"/>
      <c r="Q16" s="70" t="str">
        <f t="shared" si="2"/>
        <v/>
      </c>
      <c r="Y16" s="51"/>
    </row>
    <row r="17" spans="1:26" ht="21" customHeight="1">
      <c r="A17" s="20"/>
      <c r="B17" s="90">
        <f t="shared" si="3"/>
        <v>45387</v>
      </c>
      <c r="C17" s="91" t="str">
        <f t="shared" si="4"/>
        <v>金</v>
      </c>
      <c r="D17" s="19"/>
      <c r="E17" s="65"/>
      <c r="F17" s="68" t="str">
        <f t="shared" si="5"/>
        <v/>
      </c>
      <c r="G17" s="21"/>
      <c r="H17" s="65"/>
      <c r="I17" s="71" t="str">
        <f t="shared" si="6"/>
        <v/>
      </c>
      <c r="J17" s="86">
        <f t="shared" si="7"/>
        <v>45402</v>
      </c>
      <c r="K17" s="87" t="str">
        <f t="shared" si="0"/>
        <v>土</v>
      </c>
      <c r="L17" s="19"/>
      <c r="M17" s="65"/>
      <c r="N17" s="68" t="str">
        <f t="shared" si="1"/>
        <v/>
      </c>
      <c r="O17" s="21"/>
      <c r="P17" s="65"/>
      <c r="Q17" s="70" t="str">
        <f t="shared" si="2"/>
        <v/>
      </c>
    </row>
    <row r="18" spans="1:26" ht="21" customHeight="1">
      <c r="A18" s="20"/>
      <c r="B18" s="90">
        <f t="shared" si="3"/>
        <v>45388</v>
      </c>
      <c r="C18" s="91" t="str">
        <f t="shared" si="4"/>
        <v>土</v>
      </c>
      <c r="D18" s="19"/>
      <c r="E18" s="65"/>
      <c r="F18" s="68" t="str">
        <f t="shared" si="5"/>
        <v/>
      </c>
      <c r="G18" s="21"/>
      <c r="H18" s="65"/>
      <c r="I18" s="71" t="str">
        <f t="shared" si="6"/>
        <v/>
      </c>
      <c r="J18" s="86">
        <f t="shared" si="7"/>
        <v>45403</v>
      </c>
      <c r="K18" s="87" t="str">
        <f t="shared" si="0"/>
        <v>日</v>
      </c>
      <c r="L18" s="19"/>
      <c r="M18" s="65"/>
      <c r="N18" s="68" t="str">
        <f t="shared" si="1"/>
        <v/>
      </c>
      <c r="O18" s="21"/>
      <c r="P18" s="65"/>
      <c r="Q18" s="70" t="str">
        <f t="shared" si="2"/>
        <v/>
      </c>
    </row>
    <row r="19" spans="1:26" ht="21" customHeight="1">
      <c r="A19" s="20"/>
      <c r="B19" s="90">
        <f t="shared" si="3"/>
        <v>45389</v>
      </c>
      <c r="C19" s="91" t="str">
        <f t="shared" si="4"/>
        <v>日</v>
      </c>
      <c r="D19" s="19"/>
      <c r="E19" s="65"/>
      <c r="F19" s="68" t="str">
        <f t="shared" si="5"/>
        <v/>
      </c>
      <c r="G19" s="21"/>
      <c r="H19" s="65"/>
      <c r="I19" s="71" t="str">
        <f t="shared" si="6"/>
        <v/>
      </c>
      <c r="J19" s="86">
        <f t="shared" si="7"/>
        <v>45404</v>
      </c>
      <c r="K19" s="87" t="str">
        <f t="shared" si="0"/>
        <v>月</v>
      </c>
      <c r="L19" s="19"/>
      <c r="M19" s="65"/>
      <c r="N19" s="68" t="str">
        <f t="shared" si="1"/>
        <v/>
      </c>
      <c r="O19" s="21"/>
      <c r="P19" s="65"/>
      <c r="Q19" s="70" t="str">
        <f t="shared" si="2"/>
        <v/>
      </c>
    </row>
    <row r="20" spans="1:26" ht="21" customHeight="1">
      <c r="A20" s="20"/>
      <c r="B20" s="90">
        <f t="shared" si="3"/>
        <v>45390</v>
      </c>
      <c r="C20" s="91" t="str">
        <f t="shared" si="4"/>
        <v>月</v>
      </c>
      <c r="D20" s="19"/>
      <c r="E20" s="65"/>
      <c r="F20" s="68" t="str">
        <f t="shared" si="5"/>
        <v/>
      </c>
      <c r="G20" s="21"/>
      <c r="H20" s="65"/>
      <c r="I20" s="71" t="str">
        <f t="shared" si="6"/>
        <v/>
      </c>
      <c r="J20" s="86">
        <f t="shared" si="7"/>
        <v>45405</v>
      </c>
      <c r="K20" s="87" t="str">
        <f t="shared" si="0"/>
        <v>火</v>
      </c>
      <c r="L20" s="19"/>
      <c r="M20" s="65"/>
      <c r="N20" s="68" t="str">
        <f t="shared" si="1"/>
        <v/>
      </c>
      <c r="O20" s="21"/>
      <c r="P20" s="65"/>
      <c r="Q20" s="70" t="str">
        <f t="shared" si="2"/>
        <v/>
      </c>
    </row>
    <row r="21" spans="1:26" ht="21" customHeight="1">
      <c r="A21" s="20"/>
      <c r="B21" s="90">
        <f t="shared" si="3"/>
        <v>45391</v>
      </c>
      <c r="C21" s="91" t="str">
        <f t="shared" si="4"/>
        <v>火</v>
      </c>
      <c r="D21" s="19"/>
      <c r="E21" s="65"/>
      <c r="F21" s="68" t="str">
        <f t="shared" si="5"/>
        <v/>
      </c>
      <c r="G21" s="21"/>
      <c r="H21" s="65"/>
      <c r="I21" s="71" t="str">
        <f t="shared" si="6"/>
        <v/>
      </c>
      <c r="J21" s="86">
        <f t="shared" si="7"/>
        <v>45406</v>
      </c>
      <c r="K21" s="87" t="str">
        <f t="shared" si="0"/>
        <v>水</v>
      </c>
      <c r="L21" s="19"/>
      <c r="M21" s="65"/>
      <c r="N21" s="68" t="str">
        <f t="shared" si="1"/>
        <v/>
      </c>
      <c r="O21" s="21"/>
      <c r="P21" s="65"/>
      <c r="Q21" s="70" t="str">
        <f t="shared" si="2"/>
        <v/>
      </c>
    </row>
    <row r="22" spans="1:26" ht="21" customHeight="1">
      <c r="A22" s="20"/>
      <c r="B22" s="90">
        <f t="shared" si="3"/>
        <v>45392</v>
      </c>
      <c r="C22" s="91" t="str">
        <f t="shared" si="4"/>
        <v>水</v>
      </c>
      <c r="D22" s="19"/>
      <c r="E22" s="65"/>
      <c r="F22" s="68" t="str">
        <f t="shared" si="5"/>
        <v/>
      </c>
      <c r="G22" s="21"/>
      <c r="H22" s="65"/>
      <c r="I22" s="71" t="str">
        <f t="shared" si="6"/>
        <v/>
      </c>
      <c r="J22" s="86">
        <f t="shared" si="7"/>
        <v>45407</v>
      </c>
      <c r="K22" s="87" t="str">
        <f t="shared" si="0"/>
        <v>木</v>
      </c>
      <c r="L22" s="19"/>
      <c r="M22" s="65"/>
      <c r="N22" s="68" t="str">
        <f t="shared" si="1"/>
        <v/>
      </c>
      <c r="O22" s="21"/>
      <c r="P22" s="65"/>
      <c r="Q22" s="70" t="str">
        <f t="shared" si="2"/>
        <v/>
      </c>
    </row>
    <row r="23" spans="1:26" ht="21" customHeight="1">
      <c r="A23" s="20"/>
      <c r="B23" s="90">
        <f t="shared" si="3"/>
        <v>45393</v>
      </c>
      <c r="C23" s="91" t="str">
        <f t="shared" si="4"/>
        <v>木</v>
      </c>
      <c r="D23" s="19"/>
      <c r="E23" s="65"/>
      <c r="F23" s="68" t="str">
        <f t="shared" si="5"/>
        <v/>
      </c>
      <c r="G23" s="21"/>
      <c r="H23" s="65"/>
      <c r="I23" s="71" t="str">
        <f t="shared" si="6"/>
        <v/>
      </c>
      <c r="J23" s="86">
        <f t="shared" si="7"/>
        <v>45408</v>
      </c>
      <c r="K23" s="87" t="str">
        <f t="shared" si="0"/>
        <v>金</v>
      </c>
      <c r="L23" s="19"/>
      <c r="M23" s="65"/>
      <c r="N23" s="68" t="str">
        <f t="shared" si="1"/>
        <v/>
      </c>
      <c r="O23" s="21"/>
      <c r="P23" s="65"/>
      <c r="Q23" s="70" t="str">
        <f t="shared" si="2"/>
        <v/>
      </c>
    </row>
    <row r="24" spans="1:26" ht="21" customHeight="1">
      <c r="A24" s="20"/>
      <c r="B24" s="90">
        <f t="shared" si="3"/>
        <v>45394</v>
      </c>
      <c r="C24" s="91" t="str">
        <f t="shared" si="4"/>
        <v>金</v>
      </c>
      <c r="D24" s="19"/>
      <c r="E24" s="65"/>
      <c r="F24" s="68" t="str">
        <f t="shared" si="5"/>
        <v/>
      </c>
      <c r="G24" s="21"/>
      <c r="H24" s="65"/>
      <c r="I24" s="71" t="str">
        <f t="shared" si="6"/>
        <v/>
      </c>
      <c r="J24" s="86">
        <f t="shared" si="7"/>
        <v>45409</v>
      </c>
      <c r="K24" s="87" t="str">
        <f t="shared" si="0"/>
        <v>土</v>
      </c>
      <c r="L24" s="19"/>
      <c r="M24" s="65"/>
      <c r="N24" s="68" t="str">
        <f t="shared" si="1"/>
        <v/>
      </c>
      <c r="O24" s="21"/>
      <c r="P24" s="65"/>
      <c r="Q24" s="70" t="str">
        <f t="shared" si="2"/>
        <v/>
      </c>
    </row>
    <row r="25" spans="1:26" ht="21" customHeight="1">
      <c r="A25" s="20"/>
      <c r="B25" s="90">
        <f t="shared" si="3"/>
        <v>45395</v>
      </c>
      <c r="C25" s="91" t="str">
        <f t="shared" si="4"/>
        <v>土</v>
      </c>
      <c r="D25" s="19"/>
      <c r="E25" s="65"/>
      <c r="F25" s="68" t="str">
        <f t="shared" si="5"/>
        <v/>
      </c>
      <c r="G25" s="21"/>
      <c r="H25" s="65"/>
      <c r="I25" s="71" t="str">
        <f t="shared" si="6"/>
        <v/>
      </c>
      <c r="J25" s="86">
        <f t="shared" si="7"/>
        <v>45410</v>
      </c>
      <c r="K25" s="87" t="str">
        <f t="shared" si="0"/>
        <v>日</v>
      </c>
      <c r="L25" s="19"/>
      <c r="M25" s="65"/>
      <c r="N25" s="68" t="str">
        <f t="shared" si="1"/>
        <v/>
      </c>
      <c r="O25" s="21"/>
      <c r="P25" s="65"/>
      <c r="Q25" s="70" t="str">
        <f t="shared" si="2"/>
        <v/>
      </c>
    </row>
    <row r="26" spans="1:26" ht="21" customHeight="1">
      <c r="A26" s="20"/>
      <c r="B26" s="90">
        <f t="shared" si="3"/>
        <v>45396</v>
      </c>
      <c r="C26" s="91" t="str">
        <f t="shared" si="4"/>
        <v>日</v>
      </c>
      <c r="D26" s="19"/>
      <c r="E26" s="65"/>
      <c r="F26" s="68" t="str">
        <f t="shared" si="5"/>
        <v/>
      </c>
      <c r="G26" s="21"/>
      <c r="H26" s="65"/>
      <c r="I26" s="71" t="str">
        <f t="shared" si="6"/>
        <v/>
      </c>
      <c r="J26" s="86">
        <f t="shared" si="7"/>
        <v>45411</v>
      </c>
      <c r="K26" s="87" t="str">
        <f t="shared" si="0"/>
        <v>月</v>
      </c>
      <c r="L26" s="19"/>
      <c r="M26" s="65"/>
      <c r="N26" s="68" t="str">
        <f t="shared" si="1"/>
        <v/>
      </c>
      <c r="O26" s="21"/>
      <c r="P26" s="65"/>
      <c r="Q26" s="70" t="str">
        <f t="shared" si="2"/>
        <v/>
      </c>
    </row>
    <row r="27" spans="1:26" ht="21" customHeight="1" thickBot="1">
      <c r="A27" s="20"/>
      <c r="B27" s="92">
        <f t="shared" si="3"/>
        <v>45397</v>
      </c>
      <c r="C27" s="93" t="str">
        <f t="shared" si="4"/>
        <v>月</v>
      </c>
      <c r="D27" s="22"/>
      <c r="E27" s="66"/>
      <c r="F27" s="69" t="str">
        <f t="shared" si="5"/>
        <v/>
      </c>
      <c r="G27" s="22"/>
      <c r="H27" s="66"/>
      <c r="I27" s="72" t="str">
        <f t="shared" si="6"/>
        <v/>
      </c>
      <c r="J27" s="86">
        <f t="shared" si="7"/>
        <v>45412</v>
      </c>
      <c r="K27" s="87" t="str">
        <f t="shared" si="0"/>
        <v>火</v>
      </c>
      <c r="L27" s="19"/>
      <c r="M27" s="65"/>
      <c r="N27" s="68" t="str">
        <f t="shared" si="1"/>
        <v/>
      </c>
      <c r="O27" s="21"/>
      <c r="P27" s="65"/>
      <c r="Q27" s="70" t="str">
        <f t="shared" si="2"/>
        <v/>
      </c>
    </row>
    <row r="28" spans="1:26" ht="21" customHeight="1" thickBot="1">
      <c r="A28" s="2"/>
      <c r="B28" s="4"/>
      <c r="C28" s="2"/>
      <c r="D28" s="23"/>
      <c r="E28" s="23"/>
      <c r="F28" s="23"/>
      <c r="G28" s="23"/>
      <c r="H28" s="23"/>
      <c r="I28" s="20"/>
      <c r="J28" s="88" t="str">
        <f>IF(J27=$E$57,"-",IF(J27="-","-",J27+1))</f>
        <v>-</v>
      </c>
      <c r="K28" s="89" t="str">
        <f>IF(J28="-","-",TEXT(WEEKDAY(J28),"aaa"))</f>
        <v>-</v>
      </c>
      <c r="L28" s="54"/>
      <c r="M28" s="60"/>
      <c r="N28" s="73" t="str">
        <f t="shared" si="1"/>
        <v/>
      </c>
      <c r="O28" s="53"/>
      <c r="P28" s="66"/>
      <c r="Q28" s="74" t="str">
        <f t="shared" si="2"/>
        <v/>
      </c>
    </row>
    <row r="29" spans="1:26" ht="21" customHeight="1" thickBot="1">
      <c r="A29" s="2"/>
      <c r="B29" s="4"/>
      <c r="C29" s="2"/>
      <c r="D29" s="23"/>
      <c r="E29" s="23"/>
      <c r="F29" s="23"/>
      <c r="G29" s="23"/>
      <c r="H29" s="23"/>
      <c r="I29" s="24"/>
      <c r="J29" s="132" t="s">
        <v>14</v>
      </c>
      <c r="K29" s="133"/>
      <c r="L29" s="77">
        <f>COUNTA(D13:D27,L13:L28)</f>
        <v>0</v>
      </c>
      <c r="M29" s="78">
        <f>SUM(E13:E27,M13:M28)</f>
        <v>0</v>
      </c>
      <c r="N29" s="75"/>
      <c r="O29" s="79">
        <f>COUNTA(G13:G27,O13:O28)</f>
        <v>0</v>
      </c>
      <c r="P29" s="78">
        <f>SUM(H13:H27,P13:P28)</f>
        <v>0</v>
      </c>
      <c r="Q29" s="76"/>
    </row>
    <row r="30" spans="1:26" ht="21" customHeight="1">
      <c r="A30" s="2"/>
      <c r="B30" s="4"/>
      <c r="C30" s="2"/>
      <c r="D30" s="23"/>
      <c r="E30" s="23"/>
      <c r="F30" s="23"/>
      <c r="G30" s="23"/>
      <c r="H30" s="23"/>
      <c r="I30" s="24"/>
      <c r="J30" s="17"/>
      <c r="K30" s="17"/>
      <c r="Q30" s="24"/>
    </row>
    <row r="31" spans="1:26" ht="21" customHeight="1"/>
    <row r="32" spans="1:26" ht="18" customHeight="1">
      <c r="A32" s="6"/>
      <c r="B32" s="134" t="s">
        <v>38</v>
      </c>
      <c r="C32" s="134"/>
      <c r="D32" s="6"/>
      <c r="E32" s="135" t="s">
        <v>40</v>
      </c>
      <c r="F32" s="135"/>
      <c r="G32" s="135"/>
      <c r="H32" s="135"/>
      <c r="I32" s="6"/>
      <c r="J32" s="136" t="s">
        <v>39</v>
      </c>
      <c r="K32" s="137"/>
      <c r="L32" s="137"/>
      <c r="M32" s="138"/>
      <c r="N32" s="6"/>
      <c r="O32" s="139" t="s">
        <v>31</v>
      </c>
      <c r="P32" s="140"/>
      <c r="Q32" s="140"/>
      <c r="R32" s="141"/>
      <c r="W32" s="25"/>
      <c r="Y32" s="47"/>
      <c r="Z32" s="47"/>
    </row>
    <row r="33" spans="1:23" ht="18" customHeight="1">
      <c r="A33" s="6"/>
      <c r="B33" s="147">
        <f>L29+O29</f>
        <v>0</v>
      </c>
      <c r="C33" s="147"/>
      <c r="D33" s="6"/>
      <c r="E33" s="148">
        <f>M29+P29</f>
        <v>0</v>
      </c>
      <c r="F33" s="149"/>
      <c r="G33" s="149"/>
      <c r="H33" s="26" t="s">
        <v>6</v>
      </c>
      <c r="I33" s="6"/>
      <c r="J33" s="148">
        <f>IF(B33=0,0,E33)</f>
        <v>0</v>
      </c>
      <c r="K33" s="149"/>
      <c r="L33" s="149"/>
      <c r="M33" s="26" t="s">
        <v>6</v>
      </c>
      <c r="N33" s="6"/>
      <c r="O33" s="148">
        <f>E33-M7</f>
        <v>0</v>
      </c>
      <c r="P33" s="149"/>
      <c r="Q33" s="149"/>
      <c r="R33" s="26" t="s">
        <v>6</v>
      </c>
      <c r="W33" s="27"/>
    </row>
    <row r="34" spans="1:23" ht="18" customHeight="1">
      <c r="A34" s="6"/>
      <c r="B34" s="6"/>
      <c r="C34" s="6"/>
      <c r="D34" s="6"/>
      <c r="E34" s="150" t="str">
        <f>IF(E33&gt;M7,"要確認！
加算額を超えています！","加算額以下ＯＫ")</f>
        <v>加算額以下ＯＫ</v>
      </c>
      <c r="F34" s="151"/>
      <c r="G34" s="151"/>
      <c r="H34" s="152"/>
      <c r="I34" s="6"/>
      <c r="J34" s="6"/>
      <c r="K34" s="6"/>
      <c r="L34" s="6"/>
      <c r="M34" s="6"/>
      <c r="N34" s="6"/>
      <c r="O34" s="156" t="str">
        <f>IF(O33&gt;0,"増額調整",IF(O33=0,"調整不要",IF(O33&lt;0,"減額調整")))</f>
        <v>調整不要</v>
      </c>
      <c r="P34" s="157"/>
      <c r="Q34" s="157"/>
      <c r="R34" s="158"/>
    </row>
    <row r="35" spans="1:23" ht="18" customHeight="1">
      <c r="A35" s="6"/>
      <c r="B35" s="6"/>
      <c r="C35" s="6"/>
      <c r="D35" s="6"/>
      <c r="E35" s="153"/>
      <c r="F35" s="154"/>
      <c r="G35" s="154"/>
      <c r="H35" s="155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23" ht="18" customHeight="1">
      <c r="A36" s="6"/>
      <c r="B36" s="6"/>
      <c r="C36" s="6"/>
      <c r="D36" s="6"/>
      <c r="E36" s="83"/>
      <c r="F36" s="83"/>
      <c r="G36" s="83"/>
      <c r="H36" s="83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23" ht="18" customHeight="1">
      <c r="A37" s="6"/>
      <c r="B37" s="6"/>
      <c r="C37" s="6"/>
      <c r="D37" s="6"/>
      <c r="E37" s="83"/>
      <c r="F37" s="83"/>
      <c r="G37" s="83"/>
      <c r="H37" s="83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23" ht="18" customHeight="1">
      <c r="A38" s="46" t="s">
        <v>15</v>
      </c>
      <c r="B38" s="6"/>
      <c r="C38" s="6"/>
      <c r="D38" s="6"/>
      <c r="E38" s="6"/>
      <c r="F38" s="6"/>
      <c r="G38" s="6"/>
      <c r="H38" s="6"/>
      <c r="I38" s="52"/>
      <c r="J38" s="4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3" ht="18" customHeight="1">
      <c r="A39" s="46" t="s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3" ht="18" customHeight="1">
      <c r="A40" s="46" t="s">
        <v>24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3" ht="18" customHeight="1">
      <c r="A41" s="46" t="s">
        <v>37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55"/>
      <c r="S41" s="6"/>
      <c r="T41" s="6"/>
      <c r="U41" s="6"/>
    </row>
    <row r="42" spans="1:23" ht="17.25" customHeight="1">
      <c r="A42" s="46" t="s">
        <v>34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55"/>
      <c r="S42" s="6"/>
      <c r="T42" s="6"/>
      <c r="U42" s="6"/>
    </row>
    <row r="43" spans="1:23" ht="16.5" customHeight="1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3" ht="16.5" customHeight="1">
      <c r="A44" s="50" t="s">
        <v>27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3" ht="16.5" customHeight="1">
      <c r="A45" s="142" t="s">
        <v>28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6"/>
      <c r="S45" s="6"/>
      <c r="T45" s="6"/>
      <c r="U45" s="6"/>
    </row>
    <row r="46" spans="1:23" ht="16.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6"/>
      <c r="S46" s="6"/>
      <c r="T46" s="6"/>
      <c r="U46" s="6"/>
    </row>
    <row r="47" spans="1:23" ht="16.5" customHeight="1"/>
    <row r="48" spans="1:23" ht="16.5" customHeight="1">
      <c r="B48" s="49" t="s">
        <v>3</v>
      </c>
      <c r="C48" s="28" t="s">
        <v>16</v>
      </c>
      <c r="D48" s="29" t="s">
        <v>17</v>
      </c>
      <c r="E48" s="30"/>
      <c r="F48" s="31"/>
      <c r="G48" s="56"/>
      <c r="H48" s="2"/>
      <c r="I48" s="32"/>
    </row>
    <row r="49" spans="2:12" ht="16.5" customHeight="1">
      <c r="B49" s="33">
        <v>5</v>
      </c>
      <c r="C49" s="48">
        <v>1</v>
      </c>
      <c r="D49" s="34" t="s">
        <v>41</v>
      </c>
      <c r="E49" s="35"/>
      <c r="F49" s="36"/>
      <c r="G49" s="57"/>
      <c r="H49" s="2"/>
      <c r="I49" s="37"/>
    </row>
    <row r="50" spans="2:12" ht="16.5" customHeight="1">
      <c r="B50" s="33">
        <v>6</v>
      </c>
      <c r="C50" s="48">
        <v>2</v>
      </c>
      <c r="D50" s="34" t="s">
        <v>32</v>
      </c>
      <c r="E50" s="35"/>
      <c r="F50" s="36"/>
      <c r="G50" s="56"/>
      <c r="H50" s="2"/>
      <c r="I50" s="37"/>
      <c r="J50" s="38"/>
      <c r="K50" s="38"/>
      <c r="L50" s="39"/>
    </row>
    <row r="51" spans="2:12" ht="16.5" customHeight="1">
      <c r="B51" s="33">
        <v>7</v>
      </c>
      <c r="C51" s="48">
        <v>3</v>
      </c>
      <c r="D51" s="34" t="s">
        <v>18</v>
      </c>
      <c r="E51" s="35"/>
      <c r="F51" s="36"/>
      <c r="G51" s="57"/>
      <c r="H51" s="2"/>
      <c r="I51" s="40"/>
      <c r="J51" s="38"/>
      <c r="K51" s="38"/>
      <c r="L51" s="39"/>
    </row>
    <row r="52" spans="2:12" ht="16.5" customHeight="1">
      <c r="B52" s="33">
        <v>8</v>
      </c>
      <c r="C52" s="48">
        <v>4</v>
      </c>
      <c r="D52" s="34" t="s">
        <v>12</v>
      </c>
      <c r="E52" s="35"/>
      <c r="F52" s="36"/>
      <c r="G52" s="57"/>
      <c r="H52" s="2"/>
      <c r="I52" s="41"/>
      <c r="J52" s="38"/>
      <c r="K52" s="38"/>
      <c r="L52" s="39"/>
    </row>
    <row r="53" spans="2:12" ht="16.5" customHeight="1">
      <c r="B53" s="45"/>
      <c r="C53" s="28">
        <v>5</v>
      </c>
      <c r="D53" s="34" t="s">
        <v>13</v>
      </c>
      <c r="E53" s="35"/>
      <c r="F53" s="36"/>
      <c r="G53" s="57"/>
      <c r="H53" s="2"/>
      <c r="I53" s="41"/>
      <c r="J53" s="38"/>
      <c r="K53" s="38"/>
      <c r="L53" s="39"/>
    </row>
    <row r="54" spans="2:12" ht="16.5" customHeight="1">
      <c r="B54" s="45"/>
      <c r="C54" s="28">
        <v>6</v>
      </c>
      <c r="D54" s="34" t="s">
        <v>19</v>
      </c>
      <c r="E54" s="35"/>
      <c r="F54" s="36"/>
      <c r="G54" s="57"/>
      <c r="H54" s="2"/>
      <c r="I54" s="41"/>
      <c r="J54" s="38"/>
      <c r="K54" s="38"/>
      <c r="L54" s="39"/>
    </row>
    <row r="55" spans="2:12" ht="16.5" customHeight="1">
      <c r="B55" s="45"/>
      <c r="C55" s="28">
        <v>7</v>
      </c>
      <c r="D55" s="34" t="s">
        <v>20</v>
      </c>
      <c r="E55" s="35"/>
      <c r="F55" s="36"/>
      <c r="G55" s="57"/>
      <c r="H55" s="2"/>
      <c r="I55" s="41"/>
      <c r="J55" s="38"/>
      <c r="K55" s="38"/>
      <c r="L55" s="39"/>
    </row>
    <row r="56" spans="2:12" ht="16.5" customHeight="1">
      <c r="B56" s="45"/>
      <c r="C56" s="28">
        <v>8</v>
      </c>
      <c r="D56" s="28" t="s">
        <v>21</v>
      </c>
      <c r="E56" s="143">
        <f>DATE($B$5+2018,$D$5,1)</f>
        <v>45383</v>
      </c>
      <c r="F56" s="144"/>
      <c r="G56" s="57"/>
      <c r="H56" s="2"/>
      <c r="I56" s="41"/>
      <c r="J56" s="38"/>
      <c r="K56" s="38"/>
      <c r="L56" s="39"/>
    </row>
    <row r="57" spans="2:12" ht="16.5" customHeight="1">
      <c r="B57" s="42"/>
      <c r="C57" s="28">
        <v>9</v>
      </c>
      <c r="D57" s="28" t="s">
        <v>22</v>
      </c>
      <c r="E57" s="145">
        <f>DATE(YEAR($E$56),MONTH($E$56)+1,1)-1</f>
        <v>45412</v>
      </c>
      <c r="F57" s="146"/>
      <c r="G57" s="58"/>
      <c r="H57" s="2"/>
      <c r="I57" s="41"/>
      <c r="J57" s="38"/>
      <c r="K57" s="38"/>
      <c r="L57" s="39"/>
    </row>
    <row r="58" spans="2:12" ht="16.5" customHeight="1">
      <c r="B58" s="42"/>
      <c r="C58" s="28">
        <v>10</v>
      </c>
      <c r="D58" s="43"/>
      <c r="E58" s="43"/>
      <c r="F58" s="43"/>
      <c r="G58" s="59"/>
      <c r="H58" s="38"/>
      <c r="I58" s="38"/>
      <c r="J58" s="39"/>
    </row>
    <row r="59" spans="2:12" ht="16.5" customHeight="1">
      <c r="B59" s="42"/>
      <c r="C59" s="28">
        <v>11</v>
      </c>
      <c r="D59" s="43"/>
      <c r="E59" s="43"/>
      <c r="F59" s="43"/>
      <c r="G59" s="43"/>
      <c r="H59" s="38"/>
      <c r="I59" s="38"/>
      <c r="J59" s="39"/>
    </row>
    <row r="60" spans="2:12" ht="16.5" customHeight="1">
      <c r="B60" s="42"/>
      <c r="C60" s="28">
        <v>12</v>
      </c>
      <c r="D60" s="38"/>
      <c r="E60" s="38"/>
      <c r="F60" s="38"/>
      <c r="G60" s="43"/>
      <c r="H60" s="38"/>
      <c r="I60" s="38"/>
      <c r="J60" s="39"/>
    </row>
    <row r="61" spans="2:12" ht="16.5" customHeight="1">
      <c r="B61" s="44"/>
      <c r="C61" s="28"/>
      <c r="D61" s="38"/>
      <c r="E61" s="38"/>
      <c r="F61" s="38"/>
      <c r="G61" s="38"/>
      <c r="H61" s="38"/>
      <c r="I61" s="38"/>
      <c r="J61" s="39"/>
    </row>
    <row r="62" spans="2:12" ht="16.5" customHeight="1">
      <c r="D62" s="38"/>
      <c r="E62" s="38"/>
      <c r="F62" s="38"/>
      <c r="G62" s="38"/>
      <c r="H62" s="38"/>
      <c r="I62" s="38"/>
      <c r="J62" s="39"/>
    </row>
    <row r="63" spans="2:12" ht="16.5" customHeight="1">
      <c r="D63" s="38"/>
      <c r="E63" s="38"/>
      <c r="F63" s="38"/>
      <c r="G63" s="38"/>
      <c r="H63" s="38"/>
      <c r="I63" s="38"/>
      <c r="J63" s="39"/>
    </row>
    <row r="64" spans="2:12" ht="16.5" customHeight="1">
      <c r="D64" s="38"/>
      <c r="E64" s="38"/>
      <c r="F64" s="38"/>
      <c r="G64" s="38"/>
      <c r="H64" s="38"/>
      <c r="I64" s="38"/>
      <c r="J64" s="39"/>
    </row>
    <row r="65" spans="4:10" ht="16.5" customHeight="1">
      <c r="D65" s="38"/>
      <c r="E65" s="38"/>
      <c r="F65" s="38"/>
      <c r="G65" s="38"/>
      <c r="H65" s="38"/>
      <c r="I65" s="38"/>
      <c r="J65" s="39"/>
    </row>
    <row r="66" spans="4:10" ht="16.5" customHeight="1">
      <c r="D66" s="38"/>
      <c r="E66" s="38"/>
      <c r="F66" s="38"/>
      <c r="G66" s="38"/>
      <c r="H66" s="38"/>
      <c r="I66" s="38"/>
      <c r="J66" s="39"/>
    </row>
    <row r="67" spans="4:10" ht="16.5" customHeight="1">
      <c r="D67" s="38"/>
      <c r="E67" s="38"/>
      <c r="F67" s="38"/>
      <c r="G67" s="38"/>
      <c r="H67" s="38"/>
      <c r="I67" s="38"/>
      <c r="J67" s="39"/>
    </row>
    <row r="68" spans="4:10" ht="16.5" customHeight="1">
      <c r="D68" s="38"/>
      <c r="E68" s="38"/>
      <c r="F68" s="38"/>
      <c r="G68" s="38"/>
      <c r="H68" s="38"/>
      <c r="I68" s="38"/>
      <c r="J68" s="39"/>
    </row>
    <row r="69" spans="4:10" ht="16.5" customHeight="1">
      <c r="G69" s="38"/>
      <c r="H69" s="38"/>
      <c r="I69" s="38"/>
      <c r="J69" s="39"/>
    </row>
    <row r="70" spans="4:10" ht="16.5" customHeight="1">
      <c r="H70" s="38"/>
      <c r="I70" s="38"/>
      <c r="J70" s="39"/>
    </row>
    <row r="71" spans="4:10" ht="16.5" customHeight="1"/>
  </sheetData>
  <sheetProtection selectLockedCells="1"/>
  <mergeCells count="34">
    <mergeCell ref="J5:L5"/>
    <mergeCell ref="M5:N5"/>
    <mergeCell ref="P5:Q5"/>
    <mergeCell ref="A1:S1"/>
    <mergeCell ref="A3:B3"/>
    <mergeCell ref="C3:H3"/>
    <mergeCell ref="K3:L3"/>
    <mergeCell ref="N3:Q3"/>
    <mergeCell ref="B32:C32"/>
    <mergeCell ref="E32:H32"/>
    <mergeCell ref="J6:L6"/>
    <mergeCell ref="M6:P6"/>
    <mergeCell ref="J7:L7"/>
    <mergeCell ref="M7:P7"/>
    <mergeCell ref="O11:Q11"/>
    <mergeCell ref="O32:R32"/>
    <mergeCell ref="B11:B12"/>
    <mergeCell ref="C11:C12"/>
    <mergeCell ref="J11:J12"/>
    <mergeCell ref="K11:K12"/>
    <mergeCell ref="E56:F56"/>
    <mergeCell ref="E57:F57"/>
    <mergeCell ref="J32:M32"/>
    <mergeCell ref="D11:F11"/>
    <mergeCell ref="G11:I11"/>
    <mergeCell ref="L11:N11"/>
    <mergeCell ref="J33:L33"/>
    <mergeCell ref="J29:K29"/>
    <mergeCell ref="O33:Q33"/>
    <mergeCell ref="O34:R34"/>
    <mergeCell ref="A45:Q46"/>
    <mergeCell ref="B33:C33"/>
    <mergeCell ref="E33:G33"/>
    <mergeCell ref="E34:H35"/>
  </mergeCells>
  <phoneticPr fontId="19"/>
  <conditionalFormatting sqref="F13:F27 I13:I27 N13:N28 Q13:Q28">
    <cfRule type="containsText" dxfId="33" priority="3" stopIfTrue="1" operator="containsText" text="×">
      <formula>NOT(ISERROR(SEARCH("×",F13)))</formula>
    </cfRule>
  </conditionalFormatting>
  <conditionalFormatting sqref="J33:L33">
    <cfRule type="cellIs" dxfId="32" priority="2" stopIfTrue="1" operator="greaterThan">
      <formula>$M$7</formula>
    </cfRule>
  </conditionalFormatting>
  <conditionalFormatting sqref="D13:D27 G13:G27 L13:L28 O13:O28">
    <cfRule type="cellIs" dxfId="31" priority="1" operator="notEqual">
      <formula>"〇"</formula>
    </cfRule>
  </conditionalFormatting>
  <dataValidations count="3">
    <dataValidation type="list" allowBlank="1" showInputMessage="1" showErrorMessage="1" sqref="B5:B6" xr:uid="{00000000-0002-0000-0100-000000000000}">
      <formula1>$B$49:$B$55</formula1>
    </dataValidation>
    <dataValidation type="list" allowBlank="1" showInputMessage="1" showErrorMessage="1" sqref="D5:D6" xr:uid="{00000000-0002-0000-0100-000001000000}">
      <formula1>$C$49:$C$61</formula1>
    </dataValidation>
    <dataValidation type="list" allowBlank="1" showInputMessage="1" showErrorMessage="1" sqref="D13:D27 O13:O28 L13:L28 G13:G27" xr:uid="{00000000-0002-0000-0100-000002000000}">
      <formula1>$D$49:$D$55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利用実績簿</vt:lpstr>
      <vt:lpstr>利用実績簿（コメント入り）</vt:lpstr>
      <vt:lpstr>利用実績簿!Print_Area</vt:lpstr>
      <vt:lpstr>'利用実績簿（コメント入り）'!Print_Area</vt:lpstr>
    </vt:vector>
  </TitlesOfParts>
  <Company>大分県立日田高等技術専門校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伊藤　大貴</cp:lastModifiedBy>
  <cp:lastPrinted>2024-03-08T05:06:04Z</cp:lastPrinted>
  <dcterms:created xsi:type="dcterms:W3CDTF">2008-06-30T23:07:51Z</dcterms:created>
  <dcterms:modified xsi:type="dcterms:W3CDTF">2025-05-15T06:21:31Z</dcterms:modified>
</cp:coreProperties>
</file>