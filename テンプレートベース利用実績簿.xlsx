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5" yWindow="-105" windowWidth="23250" windowHeight="12450" tabRatio="600" firstSheet="0" activeTab="0" autoFilterDateGrouping="1"/>
  </bookViews>
  <sheets>
    <sheet name="利用実績簿" sheetId="1" state="visible" r:id="rId1"/>
    <sheet name="利用実績簿（コメント入り）" sheetId="2" state="visible" r:id="rId2"/>
  </sheets>
  <definedNames>
    <definedName name="_xlnm.Print_Area" localSheetId="0">'利用実績簿'!$A$1:$R$46</definedName>
    <definedName name="_xlnm.Print_Area" localSheetId="1">'利用実績簿（コメント入り）'!$A$1:$R$46</definedName>
  </definedNames>
  <calcPr calcId="191029" fullCalcOnLoad="1"/>
</workbook>
</file>

<file path=xl/styles.xml><?xml version="1.0" encoding="utf-8"?>
<styleSheet xmlns="http://schemas.openxmlformats.org/spreadsheetml/2006/main">
  <numFmts count="5">
    <numFmt numFmtId="164" formatCode="[$-411]ge\.m\.d;@"/>
    <numFmt numFmtId="165" formatCode="#,##0_ ;[Red]\-#,##0\ "/>
    <numFmt numFmtId="166" formatCode="#,##0.00_ "/>
    <numFmt numFmtId="167" formatCode="#,##0_);[Red]\(#,##0\)"/>
    <numFmt numFmtId="168" formatCode="d"/>
  </numFmts>
  <fonts count="38">
    <font>
      <name val="ＭＳ Ｐゴシック"/>
      <charset val="128"/>
      <family val="3"/>
      <sz val="11"/>
    </font>
    <font>
      <name val="ＭＳ Ｐゴシック"/>
      <charset val="128"/>
      <family val="3"/>
      <sz val="11"/>
    </font>
    <font>
      <name val="ＭＳ Ｐゴシック"/>
      <charset val="128"/>
      <family val="3"/>
      <color indexed="8"/>
      <sz val="11"/>
    </font>
    <font>
      <name val="ＭＳ Ｐゴシック"/>
      <charset val="128"/>
      <family val="3"/>
      <color indexed="9"/>
      <sz val="11"/>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ＭＳ Ｐゴシック"/>
      <charset val="128"/>
      <family val="3"/>
      <color indexed="52"/>
      <sz val="11"/>
    </font>
    <font>
      <name val="ＭＳ Ｐゴシック"/>
      <charset val="128"/>
      <family val="3"/>
      <color indexed="20"/>
      <sz val="11"/>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Ｐゴシック"/>
      <charset val="128"/>
      <family val="3"/>
      <b val="1"/>
      <color indexed="8"/>
      <sz val="11"/>
    </font>
    <font>
      <name val="ＭＳ Ｐゴシック"/>
      <charset val="128"/>
      <family val="3"/>
      <b val="1"/>
      <color indexed="63"/>
      <sz val="11"/>
    </font>
    <font>
      <name val="ＭＳ Ｐゴシック"/>
      <charset val="128"/>
      <family val="3"/>
      <i val="1"/>
      <color indexed="23"/>
      <sz val="11"/>
    </font>
    <font>
      <name val="ＭＳ Ｐゴシック"/>
      <charset val="128"/>
      <family val="3"/>
      <color indexed="62"/>
      <sz val="11"/>
    </font>
    <font>
      <name val="ＭＳ Ｐゴシック"/>
      <charset val="128"/>
      <family val="3"/>
      <color indexed="17"/>
      <sz val="11"/>
    </font>
    <font>
      <name val="ＭＳ Ｐゴシック"/>
      <charset val="128"/>
      <family val="3"/>
      <sz val="6"/>
    </font>
    <font>
      <name val="ＭＳ 明朝"/>
      <charset val="128"/>
      <family val="1"/>
      <sz val="16"/>
    </font>
    <font>
      <name val="ＭＳ 明朝"/>
      <charset val="128"/>
      <family val="1"/>
      <sz val="9"/>
    </font>
    <font>
      <name val="ＭＳ 明朝"/>
      <charset val="128"/>
      <family val="1"/>
      <sz val="10"/>
    </font>
    <font>
      <name val="ＭＳ ゴシック"/>
      <charset val="128"/>
      <family val="3"/>
      <sz val="12"/>
    </font>
    <font>
      <name val="ＭＳ 明朝"/>
      <charset val="128"/>
      <family val="1"/>
      <sz val="8"/>
    </font>
    <font>
      <name val="ＭＳ ゴシック"/>
      <charset val="128"/>
      <family val="3"/>
      <sz val="9"/>
    </font>
    <font>
      <name val="ＭＳ Ｐ明朝"/>
      <charset val="128"/>
      <family val="1"/>
      <sz val="9"/>
    </font>
    <font>
      <name val="ＭＳ 明朝"/>
      <charset val="128"/>
      <family val="1"/>
      <color indexed="10"/>
      <sz val="9"/>
    </font>
    <font>
      <name val="ＭＳ 明朝"/>
      <charset val="128"/>
      <family val="1"/>
      <b val="1"/>
      <color indexed="10"/>
      <sz val="9"/>
    </font>
    <font>
      <name val="ＭＳ Ｐゴシック"/>
      <charset val="128"/>
      <family val="3"/>
      <sz val="11"/>
      <u val="single"/>
    </font>
    <font>
      <name val="ＭＳ Ｐゴシック"/>
      <charset val="128"/>
      <family val="3"/>
      <b val="1"/>
      <sz val="11"/>
    </font>
    <font>
      <name val="ＭＳ Ｐ明朝"/>
      <charset val="128"/>
      <family val="1"/>
      <sz val="11"/>
    </font>
    <font>
      <name val="ＭＳ 明朝"/>
      <charset val="128"/>
      <family val="1"/>
      <b val="1"/>
      <sz val="11"/>
    </font>
    <font>
      <name val="ＭＳ Ｐゴシック"/>
      <charset val="128"/>
      <family val="3"/>
      <sz val="12"/>
      <scheme val="minor"/>
    </font>
    <font>
      <name val="ＭＳ 明朝"/>
      <charset val="128"/>
      <family val="1"/>
      <b val="1"/>
      <color rgb="FFFF0000"/>
      <sz val="11"/>
    </font>
    <font>
      <name val="MS P ゴシック"/>
      <charset val="128"/>
      <family val="3"/>
      <color indexed="81"/>
      <sz val="9"/>
    </font>
    <font>
      <name val="MS P ゴシック"/>
      <charset val="128"/>
      <family val="3"/>
      <b val="1"/>
      <color indexed="81"/>
      <sz val="9"/>
    </font>
    <font>
      <name val="ＭＳ 明朝"/>
      <charset val="128"/>
      <family val="1"/>
      <sz val="11"/>
    </font>
  </fonts>
  <fills count="27">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1"/>
        <bgColor indexed="64"/>
      </patternFill>
    </fill>
    <fill>
      <patternFill patternType="solid">
        <fgColor indexed="13"/>
        <bgColor indexed="64"/>
      </patternFill>
    </fill>
    <fill>
      <patternFill patternType="solid">
        <fgColor rgb="FFFFFF00"/>
        <bgColor indexed="64"/>
      </patternFill>
    </fill>
  </fills>
  <borders count="63">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double">
        <color indexed="64"/>
      </right>
      <top style="thin">
        <color indexed="64"/>
      </top>
      <bottom/>
      <diagonal/>
    </border>
    <border>
      <left style="thin">
        <color indexed="64"/>
      </left>
      <right style="medium">
        <color indexed="64"/>
      </right>
      <top/>
      <bottom/>
      <diagonal/>
    </border>
    <border>
      <left style="double">
        <color indexed="64"/>
      </left>
      <right style="thin">
        <color indexed="64"/>
      </right>
      <top style="thin">
        <color indexed="64"/>
      </top>
      <bottom/>
      <diagonal/>
    </border>
    <border>
      <left style="double">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double">
        <color indexed="64"/>
      </left>
      <right/>
      <top style="medium">
        <color indexed="64"/>
      </top>
      <bottom style="thin">
        <color indexed="64"/>
      </bottom>
      <diagonal/>
    </border>
    <border>
      <left/>
      <right/>
      <top style="medium">
        <color indexed="64"/>
      </top>
      <bottom style="thin">
        <color indexed="64"/>
      </bottom>
      <diagonal/>
    </border>
    <border>
      <left/>
      <right style="double">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diagonalUp="1">
      <left style="thin">
        <color indexed="64"/>
      </left>
      <right style="double">
        <color indexed="64"/>
      </right>
      <top style="medium">
        <color indexed="64"/>
      </top>
      <bottom style="medium">
        <color indexed="64"/>
      </bottom>
      <diagonal style="thin">
        <color indexed="64"/>
      </diagonal>
    </border>
    <border diagonalUp="1">
      <left style="thin">
        <color indexed="64"/>
      </left>
      <right style="medium">
        <color indexed="64"/>
      </right>
      <top style="medium">
        <color indexed="64"/>
      </top>
      <bottom style="medium">
        <color indexed="64"/>
      </bottom>
      <diagonal style="thin">
        <color indexed="64"/>
      </diagonal>
    </border>
    <border>
      <left style="thin">
        <color indexed="64"/>
      </left>
      <right/>
      <top/>
      <bottom style="thin">
        <color indexed="64"/>
      </bottom>
      <diagonal/>
    </border>
    <border>
      <left style="medium">
        <color indexed="64"/>
      </left>
      <right/>
      <top/>
      <bottom/>
      <diagonal/>
    </border>
    <border>
      <left style="medium">
        <color indexed="64"/>
      </left>
      <right style="thin">
        <color indexed="64"/>
      </right>
      <top/>
      <bottom/>
      <diagonal/>
    </border>
    <border>
      <left style="thin">
        <color indexed="64"/>
      </left>
      <right/>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double">
        <color indexed="64"/>
      </left>
      <right style="double">
        <color indexed="64"/>
      </right>
      <top style="medium">
        <color indexed="64"/>
      </top>
      <bottom style="thin">
        <color indexed="64"/>
      </bottom>
      <diagonal/>
    </border>
    <border>
      <left/>
      <right/>
      <top style="medium">
        <color indexed="64"/>
      </top>
      <bottom/>
      <diagonal/>
    </border>
    <border>
      <left/>
      <right style="double">
        <color indexed="64"/>
      </right>
      <top style="medium">
        <color indexed="64"/>
      </top>
      <bottom/>
      <diagonal/>
    </border>
    <border>
      <left style="double">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4">
    <xf numFmtId="0" fontId="1" fillId="0" borderId="0" applyAlignment="1">
      <alignment vertical="center"/>
    </xf>
    <xf numFmtId="0" fontId="2" fillId="2" borderId="0" applyAlignment="1">
      <alignment vertical="center"/>
    </xf>
    <xf numFmtId="0" fontId="2" fillId="3" borderId="0" applyAlignment="1">
      <alignment vertical="center"/>
    </xf>
    <xf numFmtId="0" fontId="2" fillId="4" borderId="0" applyAlignment="1">
      <alignment vertical="center"/>
    </xf>
    <xf numFmtId="0" fontId="2" fillId="5" borderId="0" applyAlignment="1">
      <alignment vertical="center"/>
    </xf>
    <xf numFmtId="0" fontId="2" fillId="6" borderId="0" applyAlignment="1">
      <alignment vertical="center"/>
    </xf>
    <xf numFmtId="0" fontId="2" fillId="7" borderId="0" applyAlignment="1">
      <alignment vertical="center"/>
    </xf>
    <xf numFmtId="0" fontId="2" fillId="8" borderId="0" applyAlignment="1">
      <alignment vertical="center"/>
    </xf>
    <xf numFmtId="0" fontId="2" fillId="9" borderId="0" applyAlignment="1">
      <alignment vertical="center"/>
    </xf>
    <xf numFmtId="0" fontId="2" fillId="10" borderId="0" applyAlignment="1">
      <alignment vertical="center"/>
    </xf>
    <xf numFmtId="0" fontId="2" fillId="5" borderId="0" applyAlignment="1">
      <alignment vertical="center"/>
    </xf>
    <xf numFmtId="0" fontId="2" fillId="8" borderId="0" applyAlignment="1">
      <alignment vertical="center"/>
    </xf>
    <xf numFmtId="0" fontId="2" fillId="11" borderId="0" applyAlignment="1">
      <alignment vertical="center"/>
    </xf>
    <xf numFmtId="0" fontId="3" fillId="12" borderId="0" applyAlignment="1">
      <alignment vertical="center"/>
    </xf>
    <xf numFmtId="0" fontId="3" fillId="9" borderId="0" applyAlignment="1">
      <alignment vertical="center"/>
    </xf>
    <xf numFmtId="0" fontId="3" fillId="10" borderId="0" applyAlignment="1">
      <alignment vertical="center"/>
    </xf>
    <xf numFmtId="0" fontId="3" fillId="13" borderId="0" applyAlignment="1">
      <alignment vertical="center"/>
    </xf>
    <xf numFmtId="0" fontId="3" fillId="14" borderId="0" applyAlignment="1">
      <alignment vertical="center"/>
    </xf>
    <xf numFmtId="0" fontId="3" fillId="15" borderId="0" applyAlignment="1">
      <alignment vertical="center"/>
    </xf>
    <xf numFmtId="0" fontId="3" fillId="16" borderId="0" applyAlignment="1">
      <alignment vertical="center"/>
    </xf>
    <xf numFmtId="0" fontId="3" fillId="17" borderId="0" applyAlignment="1">
      <alignment vertical="center"/>
    </xf>
    <xf numFmtId="0" fontId="3" fillId="18" borderId="0" applyAlignment="1">
      <alignment vertical="center"/>
    </xf>
    <xf numFmtId="0" fontId="3" fillId="13" borderId="0" applyAlignment="1">
      <alignment vertical="center"/>
    </xf>
    <xf numFmtId="0" fontId="3" fillId="14" borderId="0" applyAlignment="1">
      <alignment vertical="center"/>
    </xf>
    <xf numFmtId="0" fontId="3" fillId="19" borderId="0" applyAlignment="1">
      <alignment vertical="center"/>
    </xf>
    <xf numFmtId="0" fontId="4" fillId="0" borderId="0" applyAlignment="1">
      <alignment vertical="center"/>
    </xf>
    <xf numFmtId="0" fontId="5" fillId="20" borderId="1" applyAlignment="1">
      <alignment vertical="center"/>
    </xf>
    <xf numFmtId="0" fontId="6" fillId="21" borderId="0" applyAlignment="1">
      <alignment vertical="center"/>
    </xf>
    <xf numFmtId="0" fontId="1" fillId="22" borderId="2" applyAlignment="1">
      <alignment vertical="center"/>
    </xf>
    <xf numFmtId="0" fontId="7" fillId="0" borderId="3" applyAlignment="1">
      <alignment vertical="center"/>
    </xf>
    <xf numFmtId="0" fontId="8" fillId="3" borderId="0" applyAlignment="1">
      <alignment vertical="center"/>
    </xf>
    <xf numFmtId="0" fontId="9" fillId="23" borderId="4" applyAlignment="1">
      <alignment vertical="center"/>
    </xf>
    <xf numFmtId="0" fontId="10" fillId="0" borderId="0" applyAlignment="1">
      <alignment vertical="center"/>
    </xf>
    <xf numFmtId="38" fontId="1" fillId="0" borderId="0" applyAlignment="1">
      <alignment vertical="center"/>
    </xf>
    <xf numFmtId="38" fontId="1" fillId="0" borderId="0" applyAlignment="1">
      <alignment vertical="center"/>
    </xf>
    <xf numFmtId="0" fontId="11" fillId="0" borderId="5" applyAlignment="1">
      <alignment vertical="center"/>
    </xf>
    <xf numFmtId="0" fontId="12" fillId="0" borderId="6" applyAlignment="1">
      <alignment vertical="center"/>
    </xf>
    <xf numFmtId="0" fontId="13" fillId="0" borderId="7" applyAlignment="1">
      <alignment vertical="center"/>
    </xf>
    <xf numFmtId="0" fontId="13" fillId="0" borderId="0" applyAlignment="1">
      <alignment vertical="center"/>
    </xf>
    <xf numFmtId="0" fontId="14" fillId="0" borderId="8" applyAlignment="1">
      <alignment vertical="center"/>
    </xf>
    <xf numFmtId="0" fontId="15" fillId="23" borderId="9" applyAlignment="1">
      <alignment vertical="center"/>
    </xf>
    <xf numFmtId="0" fontId="16" fillId="0" borderId="0" applyAlignment="1">
      <alignment vertical="center"/>
    </xf>
    <xf numFmtId="0" fontId="17" fillId="7" borderId="4" applyAlignment="1">
      <alignment vertical="center"/>
    </xf>
    <xf numFmtId="0" fontId="18" fillId="4" borderId="0" applyAlignment="1">
      <alignment vertical="center"/>
    </xf>
  </cellStyleXfs>
  <cellXfs count="202">
    <xf numFmtId="0" fontId="0" fillId="0" borderId="0" applyAlignment="1" pivotButton="0" quotePrefix="0" xfId="0">
      <alignment vertical="center"/>
    </xf>
    <xf numFmtId="0" fontId="20" fillId="0" borderId="0" applyAlignment="1" pivotButton="0" quotePrefix="0" xfId="0">
      <alignment horizontal="center" vertical="center"/>
    </xf>
    <xf numFmtId="0" fontId="21" fillId="0" borderId="0" applyAlignment="1" pivotButton="0" quotePrefix="0" xfId="0">
      <alignment vertical="center"/>
    </xf>
    <xf numFmtId="0" fontId="23" fillId="24" borderId="10" applyAlignment="1" applyProtection="1" pivotButton="0" quotePrefix="0" xfId="0">
      <alignment horizontal="center" vertical="center"/>
      <protection locked="0" hidden="0"/>
    </xf>
    <xf numFmtId="0" fontId="21" fillId="0" borderId="0" applyAlignment="1" pivotButton="0" quotePrefix="0" xfId="0">
      <alignment horizontal="center" vertical="center"/>
    </xf>
    <xf numFmtId="0" fontId="23" fillId="0" borderId="0" applyAlignment="1" applyProtection="1" pivotButton="0" quotePrefix="0" xfId="0">
      <alignment vertical="center"/>
      <protection locked="0" hidden="0"/>
    </xf>
    <xf numFmtId="0" fontId="21" fillId="0" borderId="0" applyAlignment="1" pivotButton="0" quotePrefix="0" xfId="0">
      <alignment vertical="center"/>
    </xf>
    <xf numFmtId="0" fontId="21" fillId="0" borderId="0" applyAlignment="1" pivotButton="0" quotePrefix="0" xfId="0">
      <alignment vertical="center"/>
    </xf>
    <xf numFmtId="0" fontId="22" fillId="0" borderId="0" applyAlignment="1" pivotButton="0" quotePrefix="0" xfId="0">
      <alignment vertical="center"/>
    </xf>
    <xf numFmtId="0" fontId="21" fillId="0" borderId="11" applyAlignment="1" pivotButton="0" quotePrefix="0" xfId="0">
      <alignment horizontal="center" vertical="center"/>
    </xf>
    <xf numFmtId="0" fontId="23" fillId="0" borderId="0" applyAlignment="1" applyProtection="1" pivotButton="0" quotePrefix="0" xfId="0">
      <alignment vertical="center" shrinkToFit="1"/>
      <protection locked="0" hidden="0"/>
    </xf>
    <xf numFmtId="0" fontId="24" fillId="0" borderId="0" applyAlignment="1" pivotButton="0" quotePrefix="0" xfId="0">
      <alignment horizontal="center" vertical="center"/>
    </xf>
    <xf numFmtId="0" fontId="24" fillId="0" borderId="0" applyAlignment="1" pivotButton="0" quotePrefix="0" xfId="0">
      <alignment horizontal="right" vertical="center" shrinkToFit="1"/>
    </xf>
    <xf numFmtId="164" fontId="24" fillId="0" borderId="0" applyAlignment="1" pivotButton="0" quotePrefix="0" xfId="0">
      <alignment horizontal="center" vertical="center" shrinkToFit="1"/>
    </xf>
    <xf numFmtId="164" fontId="24" fillId="0" borderId="0" applyAlignment="1" pivotButton="0" quotePrefix="0" xfId="0">
      <alignment horizontal="center" vertical="center" shrinkToFit="1"/>
    </xf>
    <xf numFmtId="0" fontId="21" fillId="0" borderId="12" applyAlignment="1" pivotButton="0" quotePrefix="0" xfId="0">
      <alignment vertical="center"/>
    </xf>
    <xf numFmtId="0" fontId="21" fillId="0" borderId="0" applyAlignment="1" pivotButton="0" quotePrefix="0" xfId="0">
      <alignment vertical="center"/>
    </xf>
    <xf numFmtId="0" fontId="21" fillId="0" borderId="0" applyAlignment="1" pivotButton="0" quotePrefix="0" xfId="0">
      <alignment horizontal="center" vertical="center"/>
    </xf>
    <xf numFmtId="0" fontId="21" fillId="0" borderId="0" applyAlignment="1" pivotButton="0" quotePrefix="0" xfId="0">
      <alignment horizontal="center" vertical="center" shrinkToFit="1"/>
    </xf>
    <xf numFmtId="0" fontId="25" fillId="24" borderId="13" applyAlignment="1" applyProtection="1" pivotButton="0" quotePrefix="0" xfId="0">
      <alignment horizontal="center" vertical="center" shrinkToFit="1"/>
      <protection locked="0" hidden="0"/>
    </xf>
    <xf numFmtId="0" fontId="25" fillId="0" borderId="0" applyAlignment="1" applyProtection="1" pivotButton="0" quotePrefix="0" xfId="0">
      <alignment horizontal="center" vertical="center" shrinkToFit="1"/>
      <protection locked="0" hidden="0"/>
    </xf>
    <xf numFmtId="0" fontId="25" fillId="24" borderId="12" applyAlignment="1" applyProtection="1" pivotButton="0" quotePrefix="0" xfId="0">
      <alignment horizontal="center" vertical="center" shrinkToFit="1"/>
      <protection locked="0" hidden="0"/>
    </xf>
    <xf numFmtId="0" fontId="25" fillId="24" borderId="19" applyAlignment="1" applyProtection="1" pivotButton="0" quotePrefix="0" xfId="0">
      <alignment horizontal="center" vertical="center" shrinkToFit="1"/>
      <protection locked="0" hidden="0"/>
    </xf>
    <xf numFmtId="0" fontId="21" fillId="0" borderId="0" applyAlignment="1" pivotButton="0" quotePrefix="0" xfId="0">
      <alignment horizontal="center" vertical="center"/>
    </xf>
    <xf numFmtId="0" fontId="21" fillId="0" borderId="0" applyAlignment="1" pivotButton="0" quotePrefix="0" xfId="0">
      <alignment vertical="center" shrinkToFit="1"/>
    </xf>
    <xf numFmtId="0" fontId="22" fillId="0" borderId="0" applyAlignment="1" pivotButton="0" quotePrefix="0" xfId="0">
      <alignment horizontal="center" vertical="center"/>
    </xf>
    <xf numFmtId="165" fontId="26" fillId="0" borderId="12" applyAlignment="1" pivotButton="0" quotePrefix="0" xfId="33">
      <alignment vertical="center"/>
    </xf>
    <xf numFmtId="165" fontId="26" fillId="0" borderId="0" applyAlignment="1" pivotButton="0" quotePrefix="0" xfId="33">
      <alignment vertical="center"/>
    </xf>
    <xf numFmtId="0" fontId="27" fillId="25" borderId="21" applyAlignment="1" pivotButton="0" quotePrefix="0" xfId="0">
      <alignment horizontal="center" vertical="center"/>
    </xf>
    <xf numFmtId="0" fontId="28" fillId="25" borderId="14" applyAlignment="1" pivotButton="0" quotePrefix="0" xfId="0">
      <alignment vertical="center"/>
    </xf>
    <xf numFmtId="0" fontId="28" fillId="25" borderId="11" applyAlignment="1" pivotButton="0" quotePrefix="0" xfId="0">
      <alignment vertical="center"/>
    </xf>
    <xf numFmtId="0" fontId="28" fillId="25" borderId="22" applyAlignment="1" pivotButton="0" quotePrefix="0" xfId="0">
      <alignment vertical="center"/>
    </xf>
    <xf numFmtId="0" fontId="28" fillId="0" borderId="0" applyAlignment="1" pivotButton="0" quotePrefix="0" xfId="0">
      <alignment vertical="center"/>
    </xf>
    <xf numFmtId="0" fontId="27" fillId="25" borderId="21" applyAlignment="1" pivotButton="0" quotePrefix="1" xfId="0">
      <alignment horizontal="center" vertical="center"/>
    </xf>
    <xf numFmtId="0" fontId="27" fillId="25" borderId="14" applyAlignment="1" pivotButton="0" quotePrefix="0" xfId="0">
      <alignment vertical="center"/>
    </xf>
    <xf numFmtId="0" fontId="27" fillId="25" borderId="23" applyAlignment="1" pivotButton="0" quotePrefix="0" xfId="0">
      <alignment vertical="center"/>
    </xf>
    <xf numFmtId="0" fontId="27" fillId="25" borderId="12" applyAlignment="1" pivotButton="0" quotePrefix="0" xfId="0">
      <alignment vertical="center"/>
    </xf>
    <xf numFmtId="0" fontId="27" fillId="0" borderId="0" applyAlignment="1" pivotButton="0" quotePrefix="0" xfId="0">
      <alignment vertical="center"/>
    </xf>
    <xf numFmtId="0" fontId="27" fillId="0" borderId="0" applyAlignment="1" pivotButton="0" quotePrefix="0" xfId="0">
      <alignment horizontal="center" vertical="center"/>
    </xf>
    <xf numFmtId="0" fontId="27" fillId="0" borderId="0" applyAlignment="1" pivotButton="0" quotePrefix="0" xfId="0">
      <alignment vertical="center"/>
    </xf>
    <xf numFmtId="0" fontId="28" fillId="0" borderId="0" applyAlignment="1" pivotButton="0" quotePrefix="0" xfId="0">
      <alignment vertical="center"/>
    </xf>
    <xf numFmtId="0" fontId="27" fillId="0" borderId="0" applyAlignment="1" pivotButton="0" quotePrefix="0" xfId="0">
      <alignment vertical="center"/>
    </xf>
    <xf numFmtId="0" fontId="27" fillId="25" borderId="25" applyAlignment="1" pivotButton="0" quotePrefix="0" xfId="0">
      <alignment vertical="center"/>
    </xf>
    <xf numFmtId="0" fontId="27" fillId="25" borderId="0" applyAlignment="1" pivotButton="0" quotePrefix="0" xfId="0">
      <alignment horizontal="center" vertical="center"/>
    </xf>
    <xf numFmtId="0" fontId="21" fillId="25" borderId="0" applyAlignment="1" pivotButton="0" quotePrefix="0" xfId="0">
      <alignment vertical="center"/>
    </xf>
    <xf numFmtId="0" fontId="27" fillId="25" borderId="0" applyAlignment="1" pivotButton="0" quotePrefix="1" xfId="0">
      <alignment horizontal="center" vertical="center"/>
    </xf>
    <xf numFmtId="0" fontId="0" fillId="0" borderId="0" applyAlignment="1" pivotButton="0" quotePrefix="0" xfId="0">
      <alignment vertical="center"/>
    </xf>
    <xf numFmtId="166" fontId="21" fillId="0" borderId="0" applyAlignment="1" pivotButton="0" quotePrefix="0" xfId="0">
      <alignment vertical="center"/>
    </xf>
    <xf numFmtId="0" fontId="27" fillId="25" borderId="12" applyAlignment="1" pivotButton="0" quotePrefix="0" xfId="0">
      <alignment horizontal="center" vertical="center"/>
    </xf>
    <xf numFmtId="0" fontId="27" fillId="25" borderId="26" applyAlignment="1" pivotButton="0" quotePrefix="0" xfId="0">
      <alignment horizontal="center" vertical="center"/>
    </xf>
    <xf numFmtId="0" fontId="30" fillId="0" borderId="0" applyAlignment="1" pivotButton="0" quotePrefix="0" xfId="0">
      <alignment vertical="center"/>
    </xf>
    <xf numFmtId="164" fontId="21" fillId="0" borderId="0" applyAlignment="1" pivotButton="0" quotePrefix="0" xfId="0">
      <alignment vertical="center"/>
    </xf>
    <xf numFmtId="0" fontId="24" fillId="0" borderId="0" applyAlignment="1" pivotButton="0" quotePrefix="0" xfId="0">
      <alignment vertical="center"/>
    </xf>
    <xf numFmtId="0" fontId="25" fillId="24" borderId="22" applyAlignment="1" applyProtection="1" pivotButton="0" quotePrefix="0" xfId="0">
      <alignment horizontal="center" vertical="center" shrinkToFit="1"/>
      <protection locked="0" hidden="0"/>
    </xf>
    <xf numFmtId="0" fontId="25" fillId="24" borderId="32" applyAlignment="1" applyProtection="1" pivotButton="0" quotePrefix="0" xfId="0">
      <alignment horizontal="center" vertical="center" shrinkToFit="1"/>
      <protection locked="0" hidden="0"/>
    </xf>
    <xf numFmtId="0" fontId="0" fillId="0" borderId="0" applyAlignment="1" pivotButton="0" quotePrefix="0" xfId="0">
      <alignment horizontal="left" vertical="top" wrapText="1"/>
    </xf>
    <xf numFmtId="0" fontId="28" fillId="25" borderId="0" applyAlignment="1" pivotButton="0" quotePrefix="0" xfId="0">
      <alignment vertical="center"/>
    </xf>
    <xf numFmtId="0" fontId="27" fillId="25" borderId="0" applyAlignment="1" pivotButton="0" quotePrefix="0" xfId="0">
      <alignment vertical="center"/>
    </xf>
    <xf numFmtId="164" fontId="27" fillId="25" borderId="0" applyAlignment="1" pivotButton="0" quotePrefix="0" xfId="0">
      <alignment horizontal="center" vertical="center" shrinkToFit="1"/>
    </xf>
    <xf numFmtId="164" fontId="27" fillId="25" borderId="0" applyAlignment="1" pivotButton="0" quotePrefix="0" xfId="0">
      <alignment horizontal="center" vertical="center"/>
    </xf>
    <xf numFmtId="0" fontId="25" fillId="24" borderId="34" applyAlignment="1" applyProtection="1" pivotButton="0" quotePrefix="0" xfId="0">
      <alignment horizontal="center" vertical="center" shrinkToFit="1"/>
      <protection locked="0" hidden="0"/>
    </xf>
    <xf numFmtId="0" fontId="21" fillId="0" borderId="0" applyAlignment="1" pivotButton="0" quotePrefix="0" xfId="0">
      <alignment vertical="center"/>
    </xf>
    <xf numFmtId="0" fontId="23" fillId="0" borderId="0" applyAlignment="1" applyProtection="1" pivotButton="0" quotePrefix="0" xfId="0">
      <alignment horizontal="center" vertical="center" shrinkToFit="1"/>
      <protection locked="0" hidden="0"/>
    </xf>
    <xf numFmtId="0" fontId="23" fillId="0" borderId="0" applyAlignment="1" applyProtection="1" pivotButton="0" quotePrefix="0" xfId="0">
      <alignment horizontal="center" vertical="center"/>
      <protection locked="0" hidden="0"/>
    </xf>
    <xf numFmtId="0" fontId="22" fillId="0" borderId="0" applyAlignment="1" pivotButton="0" quotePrefix="0" xfId="0">
      <alignment vertical="center"/>
    </xf>
    <xf numFmtId="167" fontId="25" fillId="24" borderId="21" applyAlignment="1" applyProtection="1" pivotButton="0" quotePrefix="0" xfId="0">
      <alignment horizontal="center" vertical="center" shrinkToFit="1"/>
      <protection locked="0" hidden="0"/>
    </xf>
    <xf numFmtId="167" fontId="25" fillId="24" borderId="34" applyAlignment="1" applyProtection="1" pivotButton="0" quotePrefix="0" xfId="0">
      <alignment horizontal="center" vertical="center" shrinkToFit="1"/>
      <protection locked="0" hidden="0"/>
    </xf>
    <xf numFmtId="167" fontId="25" fillId="24" borderId="14" applyAlignment="1" applyProtection="1" pivotButton="0" quotePrefix="0" xfId="0">
      <alignment horizontal="center" vertical="center" shrinkToFit="1"/>
      <protection locked="0" hidden="0"/>
    </xf>
    <xf numFmtId="0" fontId="25" fillId="26" borderId="16" applyAlignment="1" applyProtection="1" pivotButton="0" quotePrefix="0" xfId="0">
      <alignment horizontal="center" vertical="center" shrinkToFit="1"/>
      <protection locked="0" hidden="0"/>
    </xf>
    <xf numFmtId="0" fontId="25" fillId="26" borderId="36" applyAlignment="1" applyProtection="1" pivotButton="0" quotePrefix="0" xfId="0">
      <alignment horizontal="center" vertical="center" shrinkToFit="1"/>
      <protection locked="0" hidden="0"/>
    </xf>
    <xf numFmtId="0" fontId="25" fillId="26" borderId="27" applyAlignment="1" applyProtection="1" pivotButton="0" quotePrefix="0" xfId="0">
      <alignment horizontal="center" vertical="center" shrinkToFit="1"/>
      <protection locked="0" hidden="0"/>
    </xf>
    <xf numFmtId="0" fontId="25" fillId="26" borderId="37" applyAlignment="1" applyProtection="1" pivotButton="0" quotePrefix="0" xfId="0">
      <alignment horizontal="center" vertical="center" shrinkToFit="1"/>
      <protection locked="0" hidden="0"/>
    </xf>
    <xf numFmtId="0" fontId="25" fillId="26" borderId="38" applyAlignment="1" applyProtection="1" pivotButton="0" quotePrefix="0" xfId="0">
      <alignment horizontal="center" vertical="center" shrinkToFit="1"/>
      <protection locked="0" hidden="0"/>
    </xf>
    <xf numFmtId="0" fontId="25" fillId="26" borderId="30" applyAlignment="1" applyProtection="1" pivotButton="0" quotePrefix="0" xfId="0">
      <alignment horizontal="center" vertical="center" shrinkToFit="1"/>
      <protection locked="0" hidden="0"/>
    </xf>
    <xf numFmtId="0" fontId="25" fillId="26" borderId="31" applyAlignment="1" applyProtection="1" pivotButton="0" quotePrefix="0" xfId="0">
      <alignment horizontal="center" vertical="center" shrinkToFit="1"/>
      <protection locked="0" hidden="0"/>
    </xf>
    <xf numFmtId="0" fontId="21" fillId="0" borderId="50" applyAlignment="1" pivotButton="0" quotePrefix="0" xfId="0">
      <alignment vertical="center" shrinkToFit="1"/>
    </xf>
    <xf numFmtId="0" fontId="21" fillId="0" borderId="51" applyAlignment="1" pivotButton="0" quotePrefix="0" xfId="0">
      <alignment vertical="center" shrinkToFit="1"/>
    </xf>
    <xf numFmtId="0" fontId="21" fillId="26" borderId="33" applyAlignment="1" pivotButton="0" quotePrefix="0" xfId="0">
      <alignment vertical="center" shrinkToFit="1"/>
    </xf>
    <xf numFmtId="167" fontId="21" fillId="26" borderId="35" applyAlignment="1" pivotButton="0" quotePrefix="0" xfId="0">
      <alignment vertical="center" shrinkToFit="1"/>
    </xf>
    <xf numFmtId="0" fontId="21" fillId="26" borderId="20" applyAlignment="1" pivotButton="0" quotePrefix="0" xfId="0">
      <alignment vertical="center" shrinkToFit="1"/>
    </xf>
    <xf numFmtId="0" fontId="21" fillId="0" borderId="0" applyAlignment="1" pivotButton="0" quotePrefix="0" xfId="0">
      <alignment vertical="center" wrapText="1" shrinkToFit="1"/>
    </xf>
    <xf numFmtId="0" fontId="21" fillId="0" borderId="0" applyAlignment="1" pivotButton="0" quotePrefix="0" xfId="0">
      <alignment vertical="center" shrinkToFit="1"/>
    </xf>
    <xf numFmtId="0" fontId="20" fillId="0" borderId="0" applyAlignment="1" pivotButton="0" quotePrefix="0" xfId="0">
      <alignment vertical="center"/>
    </xf>
    <xf numFmtId="0" fontId="34" fillId="0" borderId="0" applyAlignment="1" pivotButton="0" quotePrefix="0" xfId="0">
      <alignment horizontal="center" vertical="center" wrapText="1"/>
    </xf>
    <xf numFmtId="0" fontId="37" fillId="0" borderId="10" applyAlignment="1" pivotButton="0" quotePrefix="0" xfId="0">
      <alignment vertical="center"/>
    </xf>
    <xf numFmtId="0" fontId="37" fillId="0" borderId="0" applyAlignment="1" pivotButton="0" quotePrefix="0" xfId="0">
      <alignment vertical="center"/>
    </xf>
    <xf numFmtId="168" fontId="31" fillId="0" borderId="12" applyAlignment="1" pivotButton="0" quotePrefix="0" xfId="0">
      <alignment horizontal="center" vertical="center"/>
    </xf>
    <xf numFmtId="0" fontId="31" fillId="0" borderId="14" applyAlignment="1" pivotButton="0" quotePrefix="0" xfId="0">
      <alignment horizontal="center" vertical="center"/>
    </xf>
    <xf numFmtId="168" fontId="31" fillId="0" borderId="28" applyAlignment="1" pivotButton="0" quotePrefix="0" xfId="0">
      <alignment horizontal="center" vertical="center"/>
    </xf>
    <xf numFmtId="0" fontId="31" fillId="0" borderId="29" applyAlignment="1" pivotButton="0" quotePrefix="0" xfId="0">
      <alignment horizontal="center" vertical="center"/>
    </xf>
    <xf numFmtId="168" fontId="31" fillId="0" borderId="15" applyAlignment="1" pivotButton="0" quotePrefix="0" xfId="0">
      <alignment horizontal="center" vertical="center"/>
    </xf>
    <xf numFmtId="0" fontId="31" fillId="0" borderId="16" applyAlignment="1" pivotButton="0" quotePrefix="0" xfId="0">
      <alignment horizontal="center" vertical="center"/>
    </xf>
    <xf numFmtId="168" fontId="31" fillId="0" borderId="17" applyAlignment="1" pivotButton="0" quotePrefix="0" xfId="0">
      <alignment horizontal="center" vertical="center"/>
    </xf>
    <xf numFmtId="0" fontId="31" fillId="0" borderId="18" applyAlignment="1" pivotButton="0" quotePrefix="0" xfId="0">
      <alignment horizontal="center" vertical="center"/>
    </xf>
    <xf numFmtId="0" fontId="22" fillId="0" borderId="13" applyAlignment="1" pivotButton="0" quotePrefix="0" xfId="0">
      <alignment horizontal="center" vertical="center" shrinkToFit="1"/>
    </xf>
    <xf numFmtId="0" fontId="22" fillId="0" borderId="21" applyAlignment="1" pivotButton="0" quotePrefix="0" xfId="0">
      <alignment horizontal="center" vertical="center" shrinkToFit="1"/>
    </xf>
    <xf numFmtId="0" fontId="22" fillId="0" borderId="23" applyAlignment="1" pivotButton="0" quotePrefix="0" xfId="0">
      <alignment horizontal="center" vertical="center" shrinkToFit="1"/>
    </xf>
    <xf numFmtId="0" fontId="22" fillId="0" borderId="27" applyAlignment="1" pivotButton="0" quotePrefix="0" xfId="0">
      <alignment horizontal="center" vertical="center" shrinkToFit="1"/>
    </xf>
    <xf numFmtId="0" fontId="22" fillId="0" borderId="16" applyAlignment="1" pivotButton="0" quotePrefix="0" xfId="0">
      <alignment horizontal="center" vertical="center" shrinkToFit="1"/>
    </xf>
    <xf numFmtId="0" fontId="22" fillId="0" borderId="12" applyAlignment="1" pivotButton="0" quotePrefix="0" xfId="0">
      <alignment horizontal="center" vertical="center" shrinkToFit="1"/>
    </xf>
    <xf numFmtId="0" fontId="20" fillId="0" borderId="0" applyAlignment="1" pivotButton="0" quotePrefix="0" xfId="0">
      <alignment horizontal="center" vertical="center"/>
    </xf>
    <xf numFmtId="0" fontId="23" fillId="24" borderId="10" applyAlignment="1" applyProtection="1" pivotButton="0" quotePrefix="0" xfId="0">
      <alignment horizontal="center" vertical="center"/>
      <protection locked="0" hidden="0"/>
    </xf>
    <xf numFmtId="0" fontId="0" fillId="0" borderId="0" applyAlignment="1" pivotButton="0" quotePrefix="0" xfId="0">
      <alignment horizontal="left" vertical="top" wrapText="1"/>
    </xf>
    <xf numFmtId="0" fontId="0" fillId="0" borderId="0" applyAlignment="1" pivotButton="0" quotePrefix="0" xfId="0">
      <alignment horizontal="left" vertical="top" wrapText="1"/>
    </xf>
    <xf numFmtId="164" fontId="27" fillId="25" borderId="14" applyAlignment="1" pivotButton="0" quotePrefix="0" xfId="0">
      <alignment horizontal="center" vertical="center" shrinkToFit="1"/>
    </xf>
    <xf numFmtId="164" fontId="27" fillId="25" borderId="12" applyAlignment="1" pivotButton="0" quotePrefix="0" xfId="0">
      <alignment horizontal="center" vertical="center" shrinkToFit="1"/>
    </xf>
    <xf numFmtId="164" fontId="27" fillId="25" borderId="14" applyAlignment="1" pivotButton="0" quotePrefix="0" xfId="0">
      <alignment horizontal="center" vertical="center"/>
    </xf>
    <xf numFmtId="164" fontId="27" fillId="25" borderId="12" applyAlignment="1" pivotButton="0" quotePrefix="0" xfId="0">
      <alignment horizontal="center" vertical="center"/>
    </xf>
    <xf numFmtId="0" fontId="23" fillId="0" borderId="21" applyAlignment="1" pivotButton="0" quotePrefix="0" xfId="0">
      <alignment horizontal="center" vertical="center"/>
    </xf>
    <xf numFmtId="165" fontId="33" fillId="26" borderId="14" applyAlignment="1" pivotButton="0" quotePrefix="0" xfId="34">
      <alignment horizontal="right" vertical="center"/>
    </xf>
    <xf numFmtId="165" fontId="33" fillId="26" borderId="23" applyAlignment="1" pivotButton="0" quotePrefix="0" xfId="34">
      <alignment horizontal="right" vertical="center"/>
    </xf>
    <xf numFmtId="0" fontId="34" fillId="0" borderId="29" applyAlignment="1" pivotButton="0" quotePrefix="0" xfId="0">
      <alignment horizontal="center" vertical="center" wrapText="1"/>
    </xf>
    <xf numFmtId="0" fontId="34" fillId="0" borderId="11" applyAlignment="1" pivotButton="0" quotePrefix="0" xfId="0">
      <alignment horizontal="center" vertical="center" wrapText="1"/>
    </xf>
    <xf numFmtId="0" fontId="34" fillId="0" borderId="22" applyAlignment="1" pivotButton="0" quotePrefix="0" xfId="0">
      <alignment horizontal="center" vertical="center" wrapText="1"/>
    </xf>
    <xf numFmtId="0" fontId="34" fillId="0" borderId="52" applyAlignment="1" pivotButton="0" quotePrefix="0" xfId="0">
      <alignment horizontal="center" vertical="center" wrapText="1"/>
    </xf>
    <xf numFmtId="0" fontId="34" fillId="0" borderId="10" applyAlignment="1" pivotButton="0" quotePrefix="0" xfId="0">
      <alignment horizontal="center" vertical="center" wrapText="1"/>
    </xf>
    <xf numFmtId="0" fontId="34" fillId="0" borderId="24" applyAlignment="1" pivotButton="0" quotePrefix="0" xfId="0">
      <alignment horizontal="center" vertical="center" wrapText="1"/>
    </xf>
    <xf numFmtId="0" fontId="32" fillId="0" borderId="14" applyAlignment="1" pivotButton="0" quotePrefix="0" xfId="0">
      <alignment horizontal="center" vertical="center"/>
    </xf>
    <xf numFmtId="0" fontId="32" fillId="0" borderId="23" applyAlignment="1" pivotButton="0" quotePrefix="0" xfId="0">
      <alignment horizontal="center" vertical="center"/>
    </xf>
    <xf numFmtId="0" fontId="32" fillId="0" borderId="12" applyAlignment="1" pivotButton="0" quotePrefix="0" xfId="0">
      <alignment horizontal="center" vertical="center"/>
    </xf>
    <xf numFmtId="0" fontId="21" fillId="0" borderId="43" applyAlignment="1" pivotButton="0" quotePrefix="0" xfId="0">
      <alignment horizontal="center" vertical="center"/>
    </xf>
    <xf numFmtId="0" fontId="21" fillId="0" borderId="44" applyAlignment="1" pivotButton="0" quotePrefix="0" xfId="0">
      <alignment horizontal="center" vertical="center"/>
    </xf>
    <xf numFmtId="0" fontId="22" fillId="0" borderId="21" applyAlignment="1" pivotButton="0" quotePrefix="0" xfId="0">
      <alignment horizontal="center" vertical="center"/>
    </xf>
    <xf numFmtId="0" fontId="37" fillId="0" borderId="21" applyAlignment="1" pivotButton="0" quotePrefix="0" xfId="0">
      <alignment horizontal="center" vertical="center"/>
    </xf>
    <xf numFmtId="0" fontId="37" fillId="0" borderId="14" applyAlignment="1" pivotButton="0" quotePrefix="0" xfId="0">
      <alignment horizontal="center" vertical="center" shrinkToFit="1"/>
    </xf>
    <xf numFmtId="0" fontId="37" fillId="0" borderId="23" applyAlignment="1" pivotButton="0" quotePrefix="0" xfId="0">
      <alignment horizontal="center" vertical="center" shrinkToFit="1"/>
    </xf>
    <xf numFmtId="0" fontId="37" fillId="0" borderId="12" applyAlignment="1" pivotButton="0" quotePrefix="0" xfId="0">
      <alignment horizontal="center" vertical="center" shrinkToFit="1"/>
    </xf>
    <xf numFmtId="0" fontId="37" fillId="0" borderId="14" applyAlignment="1" pivotButton="0" quotePrefix="0" xfId="0">
      <alignment horizontal="center" vertical="center"/>
    </xf>
    <xf numFmtId="0" fontId="37" fillId="0" borderId="23" applyAlignment="1" pivotButton="0" quotePrefix="0" xfId="0">
      <alignment horizontal="center" vertical="center"/>
    </xf>
    <xf numFmtId="0" fontId="37" fillId="0" borderId="12" applyAlignment="1" pivotButton="0" quotePrefix="0" xfId="0">
      <alignment horizontal="center" vertical="center"/>
    </xf>
    <xf numFmtId="0" fontId="21" fillId="0" borderId="14" applyAlignment="1" pivotButton="0" quotePrefix="0" xfId="0">
      <alignment vertical="center" wrapText="1" shrinkToFit="1"/>
    </xf>
    <xf numFmtId="0" fontId="21" fillId="0" borderId="23" applyAlignment="1" pivotButton="0" quotePrefix="0" xfId="0">
      <alignment vertical="center" shrinkToFit="1"/>
    </xf>
    <xf numFmtId="0" fontId="21" fillId="0" borderId="12" applyAlignment="1" pivotButton="0" quotePrefix="0" xfId="0">
      <alignment vertical="center" shrinkToFit="1"/>
    </xf>
    <xf numFmtId="38" fontId="23" fillId="24" borderId="23" applyAlignment="1" applyProtection="1" pivotButton="0" quotePrefix="0" xfId="33">
      <alignment vertical="center"/>
      <protection locked="0" hidden="0"/>
    </xf>
    <xf numFmtId="0" fontId="24" fillId="0" borderId="14" applyAlignment="1" pivotButton="0" quotePrefix="0" xfId="0">
      <alignment vertical="center" wrapText="1" shrinkToFit="1"/>
    </xf>
    <xf numFmtId="0" fontId="24" fillId="0" borderId="23" applyAlignment="1" pivotButton="0" quotePrefix="0" xfId="0">
      <alignment vertical="center" shrinkToFit="1"/>
    </xf>
    <xf numFmtId="0" fontId="24" fillId="0" borderId="12" applyAlignment="1" pivotButton="0" quotePrefix="0" xfId="0">
      <alignment vertical="center" shrinkToFit="1"/>
    </xf>
    <xf numFmtId="38" fontId="23" fillId="26" borderId="23" applyAlignment="1" applyProtection="1" pivotButton="0" quotePrefix="0" xfId="33">
      <alignment vertical="center"/>
      <protection locked="0" hidden="0"/>
    </xf>
    <xf numFmtId="0" fontId="22" fillId="0" borderId="45" applyAlignment="1" pivotButton="0" quotePrefix="0" xfId="0">
      <alignment horizontal="center" vertical="center"/>
    </xf>
    <xf numFmtId="0" fontId="22" fillId="0" borderId="28" applyAlignment="1" pivotButton="0" quotePrefix="0" xfId="0">
      <alignment horizontal="center" vertical="center"/>
    </xf>
    <xf numFmtId="0" fontId="22" fillId="0" borderId="46" applyAlignment="1" pivotButton="0" quotePrefix="0" xfId="0">
      <alignment horizontal="center" vertical="center"/>
    </xf>
    <xf numFmtId="0" fontId="22" fillId="0" borderId="16" applyAlignment="1" pivotButton="0" quotePrefix="0" xfId="0">
      <alignment horizontal="center" vertical="center"/>
    </xf>
    <xf numFmtId="0" fontId="22" fillId="0" borderId="39" applyAlignment="1" pivotButton="0" quotePrefix="0" xfId="0">
      <alignment horizontal="center" vertical="center"/>
    </xf>
    <xf numFmtId="0" fontId="22" fillId="0" borderId="40" applyAlignment="1" pivotButton="0" quotePrefix="0" xfId="0">
      <alignment horizontal="center" vertical="center"/>
    </xf>
    <xf numFmtId="0" fontId="22" fillId="0" borderId="41" applyAlignment="1" pivotButton="0" quotePrefix="0" xfId="0">
      <alignment horizontal="center" vertical="center"/>
    </xf>
    <xf numFmtId="0" fontId="22" fillId="0" borderId="42" applyAlignment="1" pivotButton="0" quotePrefix="0" xfId="0">
      <alignment horizontal="center" vertical="center"/>
    </xf>
    <xf numFmtId="0" fontId="22" fillId="0" borderId="47" applyAlignment="1" pivotButton="0" quotePrefix="0" xfId="0">
      <alignment horizontal="center" vertical="center"/>
    </xf>
    <xf numFmtId="0" fontId="22" fillId="0" borderId="48" applyAlignment="1" pivotButton="0" quotePrefix="0" xfId="0">
      <alignment horizontal="center" vertical="center"/>
    </xf>
    <xf numFmtId="0" fontId="22" fillId="0" borderId="49" applyAlignment="1" pivotButton="0" quotePrefix="0" xfId="0">
      <alignment horizontal="center" vertical="center"/>
    </xf>
    <xf numFmtId="0" fontId="22" fillId="0" borderId="14" applyAlignment="1" pivotButton="0" quotePrefix="0" xfId="0">
      <alignment horizontal="center" vertical="center"/>
    </xf>
    <xf numFmtId="0" fontId="21" fillId="0" borderId="14" applyAlignment="1" pivotButton="0" quotePrefix="0" xfId="0">
      <alignment vertical="center"/>
    </xf>
    <xf numFmtId="0" fontId="21" fillId="0" borderId="23" applyAlignment="1" pivotButton="0" quotePrefix="0" xfId="0">
      <alignment vertical="center"/>
    </xf>
    <xf numFmtId="0" fontId="21" fillId="0" borderId="12" applyAlignment="1" pivotButton="0" quotePrefix="0" xfId="0">
      <alignment vertical="center"/>
    </xf>
    <xf numFmtId="0" fontId="23" fillId="24" borderId="14" applyAlignment="1" applyProtection="1" pivotButton="0" quotePrefix="0" xfId="0">
      <alignment horizontal="center" vertical="center" shrinkToFit="1"/>
      <protection locked="0" hidden="0"/>
    </xf>
    <xf numFmtId="0" fontId="23" fillId="24" borderId="23" applyAlignment="1" applyProtection="1" pivotButton="0" quotePrefix="0" xfId="0">
      <alignment horizontal="center" vertical="center" shrinkToFit="1"/>
      <protection locked="0" hidden="0"/>
    </xf>
    <xf numFmtId="0" fontId="23" fillId="24" borderId="12" applyAlignment="1" applyProtection="1" pivotButton="0" quotePrefix="0" xfId="0">
      <alignment horizontal="center" vertical="center" shrinkToFit="1"/>
      <protection locked="0" hidden="0"/>
    </xf>
    <xf numFmtId="0" fontId="20" fillId="0" borderId="0" applyAlignment="1" pivotButton="0" quotePrefix="0" xfId="0">
      <alignment horizontal="center" vertical="center"/>
    </xf>
    <xf numFmtId="0" fontId="37" fillId="0" borderId="10" applyAlignment="1" pivotButton="0" quotePrefix="0" xfId="0">
      <alignment vertical="center"/>
    </xf>
    <xf numFmtId="0" fontId="23" fillId="24" borderId="10" applyAlignment="1" applyProtection="1" pivotButton="0" quotePrefix="0" xfId="0">
      <alignment horizontal="center" vertical="center"/>
      <protection locked="0" hidden="0"/>
    </xf>
    <xf numFmtId="0" fontId="0" fillId="0" borderId="0" pivotButton="0" quotePrefix="0" xfId="0"/>
    <xf numFmtId="0" fontId="0" fillId="0" borderId="10" pivotButton="0" quotePrefix="0" xfId="0"/>
    <xf numFmtId="0" fontId="0" fillId="0" borderId="10" applyProtection="1" pivotButton="0" quotePrefix="0" xfId="0">
      <protection locked="0" hidden="0"/>
    </xf>
    <xf numFmtId="0" fontId="21" fillId="0" borderId="21" applyAlignment="1" pivotButton="0" quotePrefix="0" xfId="0">
      <alignment vertical="center"/>
    </xf>
    <xf numFmtId="0" fontId="0" fillId="0" borderId="23" pivotButton="0" quotePrefix="0" xfId="0"/>
    <xf numFmtId="0" fontId="0" fillId="0" borderId="12" pivotButton="0" quotePrefix="0" xfId="0"/>
    <xf numFmtId="0" fontId="0" fillId="0" borderId="23" applyProtection="1" pivotButton="0" quotePrefix="0" xfId="0">
      <protection locked="0" hidden="0"/>
    </xf>
    <xf numFmtId="0" fontId="0" fillId="0" borderId="12" applyProtection="1" pivotButton="0" quotePrefix="0" xfId="0">
      <protection locked="0" hidden="0"/>
    </xf>
    <xf numFmtId="0" fontId="21" fillId="0" borderId="21" applyAlignment="1" pivotButton="0" quotePrefix="0" xfId="0">
      <alignment vertical="center" wrapText="1" shrinkToFit="1"/>
    </xf>
    <xf numFmtId="164" fontId="24" fillId="0" borderId="0" applyAlignment="1" pivotButton="0" quotePrefix="0" xfId="0">
      <alignment horizontal="center" vertical="center" shrinkToFit="1"/>
    </xf>
    <xf numFmtId="0" fontId="24" fillId="0" borderId="21" applyAlignment="1" pivotButton="0" quotePrefix="0" xfId="0">
      <alignment vertical="center" wrapText="1" shrinkToFit="1"/>
    </xf>
    <xf numFmtId="0" fontId="22" fillId="0" borderId="58" applyAlignment="1" pivotButton="0" quotePrefix="0" xfId="0">
      <alignment horizontal="center" vertical="center"/>
    </xf>
    <xf numFmtId="0" fontId="0" fillId="0" borderId="40" pivotButton="0" quotePrefix="0" xfId="0"/>
    <xf numFmtId="0" fontId="0" fillId="0" borderId="41" pivotButton="0" quotePrefix="0" xfId="0"/>
    <xf numFmtId="0" fontId="22" fillId="0" borderId="61" applyAlignment="1" pivotButton="0" quotePrefix="0" xfId="0">
      <alignment horizontal="center" vertical="center"/>
    </xf>
    <xf numFmtId="0" fontId="0" fillId="0" borderId="42" pivotButton="0" quotePrefix="0" xfId="0"/>
    <xf numFmtId="0" fontId="0" fillId="0" borderId="48" pivotButton="0" quotePrefix="0" xfId="0"/>
    <xf numFmtId="0" fontId="0" fillId="0" borderId="57" pivotButton="0" quotePrefix="0" xfId="0"/>
    <xf numFmtId="0" fontId="0" fillId="0" borderId="52" pivotButton="0" quotePrefix="0" xfId="0"/>
    <xf numFmtId="168" fontId="31" fillId="0" borderId="15" applyAlignment="1" pivotButton="0" quotePrefix="0" xfId="0">
      <alignment horizontal="center" vertical="center"/>
    </xf>
    <xf numFmtId="167" fontId="25" fillId="24" borderId="21" applyAlignment="1" applyProtection="1" pivotButton="0" quotePrefix="0" xfId="0">
      <alignment horizontal="center" vertical="center" shrinkToFit="1"/>
      <protection locked="0" hidden="0"/>
    </xf>
    <xf numFmtId="164" fontId="21" fillId="0" borderId="0" applyAlignment="1" pivotButton="0" quotePrefix="0" xfId="0">
      <alignment vertical="center"/>
    </xf>
    <xf numFmtId="168" fontId="31" fillId="0" borderId="17" applyAlignment="1" pivotButton="0" quotePrefix="0" xfId="0">
      <alignment horizontal="center" vertical="center"/>
    </xf>
    <xf numFmtId="168" fontId="31" fillId="0" borderId="28" applyAlignment="1" pivotButton="0" quotePrefix="0" xfId="0">
      <alignment horizontal="center" vertical="center"/>
    </xf>
    <xf numFmtId="167" fontId="25" fillId="24" borderId="34" applyAlignment="1" applyProtection="1" pivotButton="0" quotePrefix="0" xfId="0">
      <alignment horizontal="center" vertical="center" shrinkToFit="1"/>
      <protection locked="0" hidden="0"/>
    </xf>
    <xf numFmtId="0" fontId="0" fillId="0" borderId="44" pivotButton="0" quotePrefix="0" xfId="0"/>
    <xf numFmtId="167" fontId="21" fillId="26" borderId="35" applyAlignment="1" pivotButton="0" quotePrefix="0" xfId="0">
      <alignment vertical="center" shrinkToFit="1"/>
    </xf>
    <xf numFmtId="0" fontId="37" fillId="0" borderId="21" applyAlignment="1" pivotButton="0" quotePrefix="0" xfId="0">
      <alignment horizontal="center" vertical="center" shrinkToFit="1"/>
    </xf>
    <xf numFmtId="166" fontId="21" fillId="0" borderId="0" applyAlignment="1" pivotButton="0" quotePrefix="0" xfId="0">
      <alignment vertical="center"/>
    </xf>
    <xf numFmtId="165" fontId="33" fillId="26" borderId="14" applyAlignment="1" pivotButton="0" quotePrefix="0" xfId="34">
      <alignment horizontal="right" vertical="center"/>
    </xf>
    <xf numFmtId="165" fontId="26" fillId="0" borderId="12" applyAlignment="1" pivotButton="0" quotePrefix="0" xfId="33">
      <alignment vertical="center"/>
    </xf>
    <xf numFmtId="165" fontId="26" fillId="0" borderId="0" applyAlignment="1" pivotButton="0" quotePrefix="0" xfId="33">
      <alignment vertical="center"/>
    </xf>
    <xf numFmtId="0" fontId="34" fillId="0" borderId="21" applyAlignment="1" pivotButton="0" quotePrefix="0" xfId="0">
      <alignment horizontal="center" vertical="center" wrapText="1"/>
    </xf>
    <xf numFmtId="0" fontId="0" fillId="0" borderId="11" pivotButton="0" quotePrefix="0" xfId="0"/>
    <xf numFmtId="0" fontId="0" fillId="0" borderId="22" pivotButton="0" quotePrefix="0" xfId="0"/>
    <xf numFmtId="0" fontId="32" fillId="0" borderId="21" applyAlignment="1" pivotButton="0" quotePrefix="0" xfId="0">
      <alignment horizontal="center" vertical="center"/>
    </xf>
    <xf numFmtId="0" fontId="0" fillId="0" borderId="24" pivotButton="0" quotePrefix="0" xfId="0"/>
    <xf numFmtId="164" fontId="27" fillId="25" borderId="21" applyAlignment="1" pivotButton="0" quotePrefix="0" xfId="0">
      <alignment horizontal="center" vertical="center" shrinkToFit="1"/>
    </xf>
    <xf numFmtId="164" fontId="27" fillId="25" borderId="21" applyAlignment="1" pivotButton="0" quotePrefix="0" xfId="0">
      <alignment horizontal="center" vertical="center"/>
    </xf>
    <xf numFmtId="164" fontId="27" fillId="25" borderId="0" applyAlignment="1" pivotButton="0" quotePrefix="0" xfId="0">
      <alignment horizontal="center" vertical="center" shrinkToFit="1"/>
    </xf>
    <xf numFmtId="164" fontId="27" fillId="25" borderId="0" applyAlignment="1" pivotButton="0" quotePrefix="0" xfId="0">
      <alignment horizontal="center" vertical="center"/>
    </xf>
    <xf numFmtId="167" fontId="25" fillId="24" borderId="14" applyAlignment="1" applyProtection="1" pivotButton="0" quotePrefix="0" xfId="0">
      <alignment horizontal="center" vertical="center" shrinkToFit="1"/>
      <protection locked="0" hidden="0"/>
    </xf>
    <xf numFmtId="168" fontId="31" fillId="0" borderId="12" applyAlignment="1" pivotButton="0" quotePrefix="0" xfId="0">
      <alignment horizontal="center" vertical="center"/>
    </xf>
  </cellXfs>
  <cellStyles count="44">
    <cellStyle name="標準" xfId="0" builtinId="0"/>
    <cellStyle name="20% - アクセント 1" xfId="1" builtinId="30"/>
    <cellStyle name="20% - アクセント 2" xfId="2" builtinId="34"/>
    <cellStyle name="20% - アクセント 3" xfId="3" builtinId="38"/>
    <cellStyle name="20% - アクセント 4" xfId="4" builtinId="42"/>
    <cellStyle name="20% - アクセント 5" xfId="5" builtinId="46"/>
    <cellStyle name="20% - アクセント 6" xfId="6" builtinId="50"/>
    <cellStyle name="40% - アクセント 1" xfId="7" builtinId="31"/>
    <cellStyle name="40% - アクセント 2" xfId="8" builtinId="35"/>
    <cellStyle name="40% - アクセント 3" xfId="9" builtinId="39"/>
    <cellStyle name="40% - アクセント 4" xfId="10" builtinId="43"/>
    <cellStyle name="40% - アクセント 5" xfId="11" builtinId="47"/>
    <cellStyle name="40% - アクセント 6" xfId="12" builtinId="51"/>
    <cellStyle name="60% - アクセント 1" xfId="13" builtinId="32"/>
    <cellStyle name="60% - アクセント 2" xfId="14" builtinId="36"/>
    <cellStyle name="60% - アクセント 3" xfId="15" builtinId="40"/>
    <cellStyle name="60% - アクセント 4" xfId="16" builtinId="44"/>
    <cellStyle name="60% - アクセント 5" xfId="17" builtinId="48"/>
    <cellStyle name="60% - アクセント 6" xfId="18" builtinId="52"/>
    <cellStyle name="アクセント 1" xfId="19" builtinId="29"/>
    <cellStyle name="アクセント 2" xfId="20" builtinId="33"/>
    <cellStyle name="アクセント 3" xfId="21" builtinId="37"/>
    <cellStyle name="アクセント 4" xfId="22" builtinId="41"/>
    <cellStyle name="アクセント 5" xfId="23" builtinId="45"/>
    <cellStyle name="アクセント 6" xfId="24" builtinId="49"/>
    <cellStyle name="タイトル" xfId="25" builtinId="15"/>
    <cellStyle name="チェック セル" xfId="26" builtinId="23"/>
    <cellStyle name="どちらでもない" xfId="27" builtinId="28"/>
    <cellStyle name="メモ" xfId="28" builtinId="10"/>
    <cellStyle name="リンク セル" xfId="29" builtinId="24"/>
    <cellStyle name="悪い" xfId="30" builtinId="27"/>
    <cellStyle name="計算" xfId="31" builtinId="22"/>
    <cellStyle name="警告文" xfId="32" builtinId="11"/>
    <cellStyle name="桁区切り" xfId="33" builtinId="6"/>
    <cellStyle name="桁区切り 2" xfId="34"/>
    <cellStyle name="見出し 1" xfId="35" builtinId="16"/>
    <cellStyle name="見出し 2" xfId="36" builtinId="17"/>
    <cellStyle name="見出し 3" xfId="37" builtinId="18"/>
    <cellStyle name="見出し 4" xfId="38" builtinId="19"/>
    <cellStyle name="集計" xfId="39" builtinId="25"/>
    <cellStyle name="出力" xfId="40" builtinId="21"/>
    <cellStyle name="説明文" xfId="41" builtinId="53"/>
    <cellStyle name="入力" xfId="42" builtinId="20"/>
    <cellStyle name="良い" xfId="43" builtinId="26"/>
  </cellStyles>
  <dxfs count="29">
    <dxf>
      <font>
        <b val="1"/>
        <color rgb="FFC00000"/>
      </font>
    </dxf>
    <dxf>
      <font>
        <color rgb="FF9C0006"/>
      </font>
      <fill>
        <patternFill>
          <bgColor rgb="FFFFC7CE"/>
        </patternFill>
      </fill>
    </dxf>
    <dxf>
      <font>
        <name val="ＭＳ Ｐゴシック"/>
        <b val="1"/>
        <color rgb="FF9C0006"/>
      </font>
      <fill>
        <patternFill>
          <bgColor rgb="FFFFC7CE"/>
        </patternFill>
      </fill>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color rgb="FF9C0006"/>
      </font>
      <fill>
        <patternFill>
          <bgColor rgb="FFFFC7CE"/>
        </patternFill>
      </fill>
    </dxf>
    <dxf>
      <font>
        <name val="ＭＳ Ｐゴシック"/>
        <b val="1"/>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oitapref</author>
  </authors>
  <commentList>
    <comment ref="D12" authorId="0" shapeId="0">
      <text>
        <t xml:space="preserve">「利用確認」欄に○が一つもない場合は「支給される特別料金等の額」欄が0円になります。
</t>
      </text>
    </comment>
    <comment ref="E12" authorId="0" shapeId="0">
      <text>
        <t>・「利用金額」欄には片道料金（割引前）より大きい金額は入力しないでください。
（「確認」欄に×が表示されます。×が出た場合には見直しをしてください）
・割引やマイレージ還元を反映した最終的な利用金額を入力してください。</t>
      </text>
    </comment>
    <comment ref="E32" authorId="0" shapeId="0">
      <text>
        <t>特別料金等加算額よりも大きい場合、「要確認」と表示されます。
必ずしも間違いではありませんが、
一度ご確認ください。</t>
      </text>
    </comment>
    <comment ref="J32" authorId="0" shapeId="0">
      <text>
        <t xml:space="preserve">「実際に支給される特別料金等の額」欄は「１ヶ月の特別料金等加算額」を
超えた場合、赤く表示されます。
必ずしも間違いではありませんが、一度ご確認ください。
</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Z70"/>
  <sheetViews>
    <sheetView tabSelected="1" view="pageBreakPreview" zoomScaleNormal="100" zoomScaleSheetLayoutView="100" workbookViewId="0">
      <selection activeCell="C3" sqref="C3:H3"/>
    </sheetView>
  </sheetViews>
  <sheetFormatPr baseColWidth="8" defaultColWidth="5.875" defaultRowHeight="36" customHeight="1"/>
  <cols>
    <col width="6.75" customWidth="1" style="23" min="1" max="1"/>
    <col width="6.125" customWidth="1" style="61" min="2" max="2"/>
    <col width="6.125" customWidth="1" style="23" min="3" max="3"/>
    <col width="6.75" customWidth="1" style="23" min="4" max="4"/>
    <col width="7.875" customWidth="1" style="23" min="5" max="5"/>
    <col width="5.75" customWidth="1" style="23" min="6" max="6"/>
    <col width="6.75" customWidth="1" style="23" min="7" max="7"/>
    <col width="7.875" customWidth="1" style="23" min="8" max="8"/>
    <col width="5.875" customWidth="1" style="23" min="9" max="9"/>
    <col width="6.125" customWidth="1" style="61" min="10" max="11"/>
    <col width="6.75" customWidth="1" style="61" min="12" max="12"/>
    <col width="7.875" customWidth="1" style="61" min="13" max="13"/>
    <col width="6.125" customWidth="1" style="61" min="14" max="14"/>
    <col width="6.75" customWidth="1" style="61" min="15" max="15"/>
    <col width="7.875" customWidth="1" style="61" min="16" max="16"/>
    <col width="5.75" customWidth="1" style="61" min="17" max="17"/>
    <col width="6.75" customWidth="1" style="61" min="18" max="23"/>
    <col width="7.25" customWidth="1" style="61" min="24" max="24"/>
    <col width="5.875" customWidth="1" style="61" min="25" max="27"/>
    <col width="9.375" bestFit="1" customWidth="1" style="61" min="28" max="28"/>
    <col width="5.875" customWidth="1" style="61" min="29" max="16384"/>
  </cols>
  <sheetData>
    <row r="1" ht="24" customHeight="1" s="159">
      <c r="A1" s="156" t="inlineStr">
        <is>
          <t>高速道路等利用実績簿</t>
        </is>
      </c>
      <c r="T1" s="82" t="n"/>
      <c r="U1" s="82" t="n"/>
      <c r="V1" s="82" t="n"/>
      <c r="W1" s="156" t="n"/>
    </row>
    <row r="2" ht="17.25" customHeight="1" s="159">
      <c r="A2" s="156" t="n"/>
      <c r="B2" s="156" t="n"/>
      <c r="C2" s="156" t="n"/>
      <c r="D2" s="156" t="n"/>
      <c r="E2" s="156" t="n"/>
      <c r="F2" s="156" t="n"/>
      <c r="G2" s="156" t="n"/>
      <c r="H2" s="156" t="n"/>
      <c r="I2" s="156" t="n"/>
      <c r="J2" s="156" t="n"/>
      <c r="K2" s="156" t="n"/>
      <c r="L2" s="156" t="n"/>
      <c r="M2" s="156" t="n"/>
      <c r="N2" s="156" t="n"/>
      <c r="O2" s="156" t="n"/>
      <c r="P2" s="156" t="n"/>
      <c r="Q2" s="156" t="n"/>
      <c r="R2" s="156" t="n"/>
      <c r="S2" s="156" t="n"/>
    </row>
    <row r="3" ht="24" customHeight="1" s="159">
      <c r="A3" s="157" t="inlineStr">
        <is>
          <t>所　　属</t>
        </is>
      </c>
      <c r="B3" s="160" t="n"/>
      <c r="C3" s="158" t="inlineStr">
        <is>
          <t>テスト学校</t>
        </is>
      </c>
      <c r="D3" s="161" t="n"/>
      <c r="E3" s="161" t="n"/>
      <c r="F3" s="161" t="n"/>
      <c r="G3" s="161" t="n"/>
      <c r="H3" s="161" t="n"/>
      <c r="J3" s="157" t="inlineStr">
        <is>
          <t>職</t>
        </is>
      </c>
      <c r="K3" s="158" t="inlineStr">
        <is>
          <t>教諭</t>
        </is>
      </c>
      <c r="L3" s="161" t="n"/>
      <c r="M3" s="157" t="inlineStr">
        <is>
          <t>氏名</t>
        </is>
      </c>
      <c r="N3" s="158" t="inlineStr">
        <is>
          <t>テスト太郎</t>
        </is>
      </c>
      <c r="O3" s="161" t="n"/>
      <c r="P3" s="161" t="n"/>
      <c r="Q3" s="161" t="n"/>
      <c r="R3" s="63" t="n"/>
      <c r="S3" s="5" t="n"/>
    </row>
    <row r="4" ht="8.25" customHeight="1" s="159">
      <c r="A4" s="61" t="n"/>
      <c r="S4" s="61" t="n"/>
    </row>
    <row r="5" ht="24" customHeight="1" s="159">
      <c r="A5" s="85" t="inlineStr">
        <is>
          <t>令和</t>
        </is>
      </c>
      <c r="B5" s="158" t="n">
        <v>6</v>
      </c>
      <c r="C5" s="64" t="inlineStr">
        <is>
          <t>年</t>
        </is>
      </c>
      <c r="D5" s="158" t="n">
        <v>5</v>
      </c>
      <c r="E5" s="64" t="inlineStr">
        <is>
          <t>月分</t>
        </is>
      </c>
      <c r="J5" s="162" t="inlineStr">
        <is>
          <t>高速道路利用区間</t>
        </is>
      </c>
      <c r="K5" s="163" t="n"/>
      <c r="L5" s="164" t="n"/>
      <c r="M5" s="153" t="inlineStr">
        <is>
          <t>大分米良</t>
        </is>
      </c>
      <c r="N5" s="165" t="n"/>
      <c r="O5" s="9" t="inlineStr">
        <is>
          <t>～</t>
        </is>
      </c>
      <c r="P5" s="155" t="inlineStr">
        <is>
          <t>日田</t>
        </is>
      </c>
      <c r="Q5" s="166" t="n"/>
      <c r="R5" s="62" t="n"/>
      <c r="S5" s="10" t="n"/>
    </row>
    <row r="6" ht="24" customHeight="1" s="159">
      <c r="A6" s="64" t="n"/>
      <c r="B6" s="63" t="n"/>
      <c r="C6" s="64" t="n"/>
      <c r="D6" s="63" t="n"/>
      <c r="E6" s="64" t="n"/>
      <c r="J6" s="167" t="inlineStr">
        <is>
          <t>利用区間の片道料金
（割引前）</t>
        </is>
      </c>
      <c r="K6" s="163" t="n"/>
      <c r="L6" s="164" t="n"/>
      <c r="M6" s="133" t="n">
        <v>2680</v>
      </c>
      <c r="N6" s="165" t="n"/>
      <c r="O6" s="165" t="n"/>
      <c r="P6" s="165" t="n"/>
      <c r="Q6" s="152" t="inlineStr">
        <is>
          <t>円</t>
        </is>
      </c>
      <c r="R6" s="61" t="n"/>
      <c r="S6" s="10" t="n"/>
    </row>
    <row r="7" ht="24" customHeight="1" s="159">
      <c r="A7" s="61" t="n"/>
      <c r="B7" s="11" t="n"/>
      <c r="C7" s="12" t="n"/>
      <c r="D7" s="168" t="n"/>
      <c r="E7" s="12" t="n"/>
      <c r="F7" s="168" t="n"/>
      <c r="J7" s="169" t="inlineStr">
        <is>
          <t>１ヶ月の特別料金等加算額（認定額）</t>
        </is>
      </c>
      <c r="K7" s="163" t="n"/>
      <c r="L7" s="164" t="n"/>
      <c r="M7" s="137">
        <f>M6*42</f>
        <v/>
      </c>
      <c r="N7" s="165" t="n"/>
      <c r="O7" s="165" t="n"/>
      <c r="P7" s="165" t="n"/>
      <c r="Q7" s="152" t="inlineStr">
        <is>
          <t>円</t>
        </is>
      </c>
      <c r="R7" s="61" t="n"/>
      <c r="S7" s="61" t="n"/>
    </row>
    <row r="8" ht="24" customHeight="1" s="159">
      <c r="A8" s="61" t="n"/>
      <c r="B8" s="11" t="n"/>
      <c r="C8" s="12" t="n"/>
      <c r="D8" s="168" t="n"/>
      <c r="E8" s="12" t="n"/>
      <c r="F8" s="168" t="n"/>
      <c r="J8" s="80" t="n"/>
      <c r="K8" s="81" t="n"/>
      <c r="L8" s="61" t="n"/>
      <c r="M8" s="61" t="n"/>
      <c r="N8" s="61" t="n"/>
      <c r="O8" s="61" t="n"/>
      <c r="P8" s="61" t="n"/>
      <c r="Q8" s="61" t="n"/>
      <c r="R8" s="61" t="n"/>
      <c r="S8" s="61" t="n"/>
    </row>
    <row r="9" ht="24" customHeight="1" s="159">
      <c r="A9" s="61" t="n"/>
      <c r="B9" s="11" t="n"/>
      <c r="C9" s="12" t="n"/>
      <c r="D9" s="168" t="n"/>
      <c r="E9" s="12" t="n"/>
      <c r="F9" s="168" t="n"/>
      <c r="J9" s="80" t="n"/>
      <c r="K9" s="81" t="n"/>
      <c r="L9" s="61" t="n"/>
      <c r="M9" s="61" t="n"/>
      <c r="N9" s="61" t="n"/>
      <c r="O9" s="61" t="n"/>
      <c r="P9" s="61" t="n"/>
      <c r="Q9" s="61" t="n"/>
      <c r="R9" s="61" t="n"/>
      <c r="S9" s="61" t="n"/>
    </row>
    <row r="10" ht="24" customHeight="1" s="159" thickBot="1">
      <c r="I10" s="23" t="inlineStr">
        <is>
          <t>　</t>
        </is>
      </c>
      <c r="S10" s="61" t="n"/>
    </row>
    <row r="11" ht="30" customHeight="1" s="159">
      <c r="A11" s="23" t="n"/>
      <c r="B11" s="138" t="inlineStr">
        <is>
          <t>日</t>
        </is>
      </c>
      <c r="C11" s="140" t="inlineStr">
        <is>
          <t>曜日</t>
        </is>
      </c>
      <c r="D11" s="170" t="inlineStr">
        <is>
          <t>往　路</t>
        </is>
      </c>
      <c r="E11" s="171" t="n"/>
      <c r="F11" s="172" t="n"/>
      <c r="G11" s="173" t="inlineStr">
        <is>
          <t>復　路</t>
        </is>
      </c>
      <c r="H11" s="171" t="n"/>
      <c r="I11" s="174" t="n"/>
      <c r="J11" s="138" t="inlineStr">
        <is>
          <t>日</t>
        </is>
      </c>
      <c r="K11" s="148" t="inlineStr">
        <is>
          <t>曜日</t>
        </is>
      </c>
      <c r="L11" s="170" t="inlineStr">
        <is>
          <t>往　路</t>
        </is>
      </c>
      <c r="M11" s="171" t="n"/>
      <c r="N11" s="172" t="n"/>
      <c r="O11" s="173" t="inlineStr">
        <is>
          <t>復　路</t>
        </is>
      </c>
      <c r="P11" s="171" t="n"/>
      <c r="Q11" s="174" t="n"/>
    </row>
    <row r="12" ht="24.75" customFormat="1" customHeight="1" s="23">
      <c r="A12" s="18" t="n"/>
      <c r="B12" s="175" t="n"/>
      <c r="C12" s="176" t="n"/>
      <c r="D12" s="94" t="inlineStr">
        <is>
          <t>利用確認</t>
        </is>
      </c>
      <c r="E12" s="95" t="inlineStr">
        <is>
          <t>利用金額</t>
        </is>
      </c>
      <c r="F12" s="96" t="inlineStr">
        <is>
          <t>確認</t>
        </is>
      </c>
      <c r="G12" s="94" t="inlineStr">
        <is>
          <t>利用確認</t>
        </is>
      </c>
      <c r="H12" s="95" t="inlineStr">
        <is>
          <t>利用金額</t>
        </is>
      </c>
      <c r="I12" s="97" t="inlineStr">
        <is>
          <t>確認</t>
        </is>
      </c>
      <c r="J12" s="175" t="n"/>
      <c r="K12" s="177" t="n"/>
      <c r="L12" s="94" t="inlineStr">
        <is>
          <t>利用確認</t>
        </is>
      </c>
      <c r="M12" s="95" t="inlineStr">
        <is>
          <t>利用金額</t>
        </is>
      </c>
      <c r="N12" s="98" t="inlineStr">
        <is>
          <t>確認</t>
        </is>
      </c>
      <c r="O12" s="99" t="inlineStr">
        <is>
          <t>利用確認</t>
        </is>
      </c>
      <c r="P12" s="95" t="inlineStr">
        <is>
          <t>利用金額</t>
        </is>
      </c>
      <c r="Q12" s="97" t="inlineStr">
        <is>
          <t>確認</t>
        </is>
      </c>
    </row>
    <row r="13" ht="21" customHeight="1" s="159">
      <c r="A13" s="20" t="n"/>
      <c r="B13" s="178">
        <f>$E$56</f>
        <v/>
      </c>
      <c r="C13" s="91">
        <f>IF(B13="-","-",TEXT(WEEKDAY(B13),"aaa"))</f>
        <v/>
      </c>
      <c r="D13" s="19" t="n"/>
      <c r="E13" s="179" t="n"/>
      <c r="F13" s="68">
        <f>IF(E13&gt;$M$6,"×","")</f>
        <v/>
      </c>
      <c r="G13" s="19" t="n"/>
      <c r="H13" s="179" t="n"/>
      <c r="I13" s="70">
        <f>IF(H13&gt;$M$6,"×","")</f>
        <v/>
      </c>
      <c r="J13" s="178">
        <f>IF(B27=$E$57,"-",IF(B27="-","-",B27+1))</f>
        <v/>
      </c>
      <c r="K13" s="91">
        <f>IF(J13="-","-",TEXT(WEEKDAY(J13),"aaa"))</f>
        <v/>
      </c>
      <c r="L13" s="19" t="n"/>
      <c r="M13" s="179" t="n"/>
      <c r="N13" s="68">
        <f>IF(M13&gt;$M$6,"×","")</f>
        <v/>
      </c>
      <c r="O13" s="19" t="n"/>
      <c r="P13" s="179" t="n"/>
      <c r="Q13" s="74">
        <f>IF(P13&gt;$M$6,"×","")</f>
        <v/>
      </c>
    </row>
    <row r="14" ht="21" customHeight="1" s="159">
      <c r="A14" s="20" t="n"/>
      <c r="B14" s="178">
        <f>IF(B13=$E$57,"-",IF(B13="-","-",B13+1))</f>
        <v/>
      </c>
      <c r="C14" s="91">
        <f>IF(B14="-","-",TEXT(WEEKDAY(B14),"aaa"))</f>
        <v/>
      </c>
      <c r="D14" s="19" t="n"/>
      <c r="E14" s="179" t="n"/>
      <c r="F14" s="68">
        <f>IF(E14&gt;$M$6,"×","")</f>
        <v/>
      </c>
      <c r="G14" s="19" t="n"/>
      <c r="H14" s="179" t="n"/>
      <c r="I14" s="70">
        <f>IF(H14&gt;$M$6,"×","")</f>
        <v/>
      </c>
      <c r="J14" s="178">
        <f>IF(J13=$E$57,"-",IF(J13="-","-",J13+1))</f>
        <v/>
      </c>
      <c r="K14" s="91">
        <f>IF(J14="-","-",TEXT(WEEKDAY(J14),"aaa"))</f>
        <v/>
      </c>
      <c r="L14" s="19" t="n"/>
      <c r="M14" s="179" t="n"/>
      <c r="N14" s="68">
        <f>IF(M14&gt;$M$6,"×","")</f>
        <v/>
      </c>
      <c r="O14" s="19" t="n"/>
      <c r="P14" s="179" t="n"/>
      <c r="Q14" s="70">
        <f>IF(P14&gt;$M$6,"×","")</f>
        <v/>
      </c>
    </row>
    <row r="15" ht="21" customHeight="1" s="159">
      <c r="A15" s="20" t="n"/>
      <c r="B15" s="178">
        <f>IF(B14=$E$57,"-",IF(B14="-","-",B14+1))</f>
        <v/>
      </c>
      <c r="C15" s="91">
        <f>IF(B15="-","-",TEXT(WEEKDAY(B15),"aaa"))</f>
        <v/>
      </c>
      <c r="D15" s="19" t="n"/>
      <c r="E15" s="179" t="n"/>
      <c r="F15" s="68">
        <f>IF(E15&gt;$M$6,"×","")</f>
        <v/>
      </c>
      <c r="G15" s="19" t="n"/>
      <c r="H15" s="179" t="n"/>
      <c r="I15" s="70">
        <f>IF(H15&gt;$M$6,"×","")</f>
        <v/>
      </c>
      <c r="J15" s="178">
        <f>IF(J14=$E$57,"-",IF(J14="-","-",J14+1))</f>
        <v/>
      </c>
      <c r="K15" s="91">
        <f>IF(J15="-","-",TEXT(WEEKDAY(J15),"aaa"))</f>
        <v/>
      </c>
      <c r="L15" s="19" t="n"/>
      <c r="M15" s="179" t="n"/>
      <c r="N15" s="68">
        <f>IF(M15&gt;$M$6,"×","")</f>
        <v/>
      </c>
      <c r="O15" s="19" t="n"/>
      <c r="P15" s="179" t="n"/>
      <c r="Q15" s="70">
        <f>IF(P15&gt;$M$6,"×","")</f>
        <v/>
      </c>
    </row>
    <row r="16" ht="21" customHeight="1" s="159">
      <c r="A16" s="20" t="n"/>
      <c r="B16" s="178">
        <f>IF(B15=$E$57,"-",IF(B15="-","-",B15+1))</f>
        <v/>
      </c>
      <c r="C16" s="91">
        <f>IF(B16="-","-",TEXT(WEEKDAY(B16),"aaa"))</f>
        <v/>
      </c>
      <c r="D16" s="19" t="n"/>
      <c r="E16" s="179" t="n"/>
      <c r="F16" s="68">
        <f>IF(E16&gt;$M$6,"×","")</f>
        <v/>
      </c>
      <c r="G16" s="19" t="n"/>
      <c r="H16" s="179" t="n"/>
      <c r="I16" s="71">
        <f>IF(H16&gt;$M$6,"×","")</f>
        <v/>
      </c>
      <c r="J16" s="178">
        <f>IF(J15=$E$57,"-",IF(J15="-","-",J15+1))</f>
        <v/>
      </c>
      <c r="K16" s="91">
        <f>IF(J16="-","-",TEXT(WEEKDAY(J16),"aaa"))</f>
        <v/>
      </c>
      <c r="L16" s="19" t="n"/>
      <c r="M16" s="179" t="n"/>
      <c r="N16" s="68">
        <f>IF(M16&gt;$M$6,"×","")</f>
        <v/>
      </c>
      <c r="O16" s="19" t="n"/>
      <c r="P16" s="179" t="n"/>
      <c r="Q16" s="70">
        <f>IF(P16&gt;$M$6,"×","")</f>
        <v/>
      </c>
      <c r="Y16" s="180" t="n"/>
    </row>
    <row r="17" ht="21" customHeight="1" s="159">
      <c r="A17" s="20" t="n"/>
      <c r="B17" s="178">
        <f>IF(B16=$E$57,"-",IF(B16="-","-",B16+1))</f>
        <v/>
      </c>
      <c r="C17" s="91">
        <f>IF(B17="-","-",TEXT(WEEKDAY(B17),"aaa"))</f>
        <v/>
      </c>
      <c r="D17" s="19" t="n"/>
      <c r="E17" s="179" t="n"/>
      <c r="F17" s="68">
        <f>IF(E17&gt;$M$6,"×","")</f>
        <v/>
      </c>
      <c r="G17" s="19" t="n"/>
      <c r="H17" s="179" t="n"/>
      <c r="I17" s="71">
        <f>IF(H17&gt;$M$6,"×","")</f>
        <v/>
      </c>
      <c r="J17" s="178">
        <f>IF(J16=$E$57,"-",IF(J16="-","-",J16+1))</f>
        <v/>
      </c>
      <c r="K17" s="91">
        <f>IF(J17="-","-",TEXT(WEEKDAY(J17),"aaa"))</f>
        <v/>
      </c>
      <c r="L17" s="21" t="n"/>
      <c r="M17" s="179" t="n"/>
      <c r="N17" s="68">
        <f>IF(M17&gt;$M$6,"×","")</f>
        <v/>
      </c>
      <c r="O17" s="21" t="n"/>
      <c r="P17" s="179" t="n"/>
      <c r="Q17" s="70">
        <f>IF(P17&gt;$M$6,"×","")</f>
        <v/>
      </c>
    </row>
    <row r="18" ht="21" customHeight="1" s="159">
      <c r="A18" s="20" t="n"/>
      <c r="B18" s="178">
        <f>IF(B17=$E$57,"-",IF(B17="-","-",B17+1))</f>
        <v/>
      </c>
      <c r="C18" s="91">
        <f>IF(B18="-","-",TEXT(WEEKDAY(B18),"aaa"))</f>
        <v/>
      </c>
      <c r="D18" s="19" t="n"/>
      <c r="E18" s="179" t="n"/>
      <c r="F18" s="68">
        <f>IF(E18&gt;$M$6,"×","")</f>
        <v/>
      </c>
      <c r="G18" s="21" t="n"/>
      <c r="H18" s="179" t="n"/>
      <c r="I18" s="71">
        <f>IF(H18&gt;$M$6,"×","")</f>
        <v/>
      </c>
      <c r="J18" s="178">
        <f>IF(J17=$E$57,"-",IF(J17="-","-",J17+1))</f>
        <v/>
      </c>
      <c r="K18" s="91">
        <f>IF(J18="-","-",TEXT(WEEKDAY(J18),"aaa"))</f>
        <v/>
      </c>
      <c r="L18" s="19" t="n"/>
      <c r="M18" s="179" t="n"/>
      <c r="N18" s="68">
        <f>IF(M18&gt;$M$6,"×","")</f>
        <v/>
      </c>
      <c r="O18" s="19" t="n"/>
      <c r="P18" s="179" t="n"/>
      <c r="Q18" s="70">
        <f>IF(P18&gt;$M$6,"×","")</f>
        <v/>
      </c>
    </row>
    <row r="19" ht="21" customHeight="1" s="159">
      <c r="A19" s="20" t="n"/>
      <c r="B19" s="178">
        <f>IF(B18=$E$57,"-",IF(B18="-","-",B18+1))</f>
        <v/>
      </c>
      <c r="C19" s="91">
        <f>IF(B19="-","-",TEXT(WEEKDAY(B19),"aaa"))</f>
        <v/>
      </c>
      <c r="D19" s="19" t="n"/>
      <c r="E19" s="179" t="n"/>
      <c r="F19" s="68">
        <f>IF(E19&gt;$M$6,"×","")</f>
        <v/>
      </c>
      <c r="G19" s="19" t="n"/>
      <c r="H19" s="179" t="n"/>
      <c r="I19" s="71">
        <f>IF(H19&gt;$M$6,"×","")</f>
        <v/>
      </c>
      <c r="J19" s="178">
        <f>IF(J18=$E$57,"-",IF(J18="-","-",J18+1))</f>
        <v/>
      </c>
      <c r="K19" s="91">
        <f>IF(J19="-","-",TEXT(WEEKDAY(J19),"aaa"))</f>
        <v/>
      </c>
      <c r="L19" s="19" t="n"/>
      <c r="M19" s="179" t="n"/>
      <c r="N19" s="68">
        <f>IF(M19&gt;$M$6,"×","")</f>
        <v/>
      </c>
      <c r="O19" s="19" t="n"/>
      <c r="P19" s="179" t="n"/>
      <c r="Q19" s="70">
        <f>IF(P19&gt;$M$6,"×","")</f>
        <v/>
      </c>
    </row>
    <row r="20" ht="21" customHeight="1" s="159">
      <c r="A20" s="20" t="n"/>
      <c r="B20" s="178">
        <f>IF(B19=$E$57,"-",IF(B19="-","-",B19+1))</f>
        <v/>
      </c>
      <c r="C20" s="91">
        <f>IF(B20="-","-",TEXT(WEEKDAY(B20),"aaa"))</f>
        <v/>
      </c>
      <c r="D20" s="19" t="n"/>
      <c r="E20" s="179" t="n"/>
      <c r="F20" s="68">
        <f>IF(E20&gt;$M$6,"×","")</f>
        <v/>
      </c>
      <c r="G20" s="19" t="n"/>
      <c r="H20" s="179" t="n"/>
      <c r="I20" s="71">
        <f>IF(H20&gt;$M$6,"×","")</f>
        <v/>
      </c>
      <c r="J20" s="178">
        <f>IF(J19=$E$57,"-",IF(J19="-","-",J19+1))</f>
        <v/>
      </c>
      <c r="K20" s="91">
        <f>IF(J20="-","-",TEXT(WEEKDAY(J20),"aaa"))</f>
        <v/>
      </c>
      <c r="L20" s="19" t="n"/>
      <c r="M20" s="179" t="n"/>
      <c r="N20" s="68">
        <f>IF(M20&gt;$M$6,"×","")</f>
        <v/>
      </c>
      <c r="O20" s="19" t="n"/>
      <c r="P20" s="179" t="n"/>
      <c r="Q20" s="70">
        <f>IF(P20&gt;$M$6,"×","")</f>
        <v/>
      </c>
    </row>
    <row r="21" ht="21" customHeight="1" s="159">
      <c r="A21" s="20" t="n"/>
      <c r="B21" s="178">
        <f>IF(B20=$E$57,"-",IF(B20="-","-",B20+1))</f>
        <v/>
      </c>
      <c r="C21" s="91">
        <f>IF(B21="-","-",TEXT(WEEKDAY(B21),"aaa"))</f>
        <v/>
      </c>
      <c r="D21" s="19" t="n"/>
      <c r="E21" s="179" t="n"/>
      <c r="F21" s="68">
        <f>IF(E21&gt;$M$6,"×","")</f>
        <v/>
      </c>
      <c r="G21" s="19" t="n"/>
      <c r="H21" s="179" t="n"/>
      <c r="I21" s="71">
        <f>IF(H21&gt;$M$6,"×","")</f>
        <v/>
      </c>
      <c r="J21" s="178">
        <f>IF(J20=$E$57,"-",IF(J20="-","-",J20+1))</f>
        <v/>
      </c>
      <c r="K21" s="91">
        <f>IF(J21="-","-",TEXT(WEEKDAY(J21),"aaa"))</f>
        <v/>
      </c>
      <c r="L21" s="19" t="n"/>
      <c r="M21" s="179" t="n"/>
      <c r="N21" s="68">
        <f>IF(M21&gt;$M$6,"×","")</f>
        <v/>
      </c>
      <c r="O21" s="19" t="n"/>
      <c r="P21" s="179" t="n"/>
      <c r="Q21" s="70">
        <f>IF(P21&gt;$M$6,"×","")</f>
        <v/>
      </c>
    </row>
    <row r="22" ht="21" customHeight="1" s="159">
      <c r="A22" s="20" t="n"/>
      <c r="B22" s="178">
        <f>IF(B21=$E$57,"-",IF(B21="-","-",B21+1))</f>
        <v/>
      </c>
      <c r="C22" s="91">
        <f>IF(B22="-","-",TEXT(WEEKDAY(B22),"aaa"))</f>
        <v/>
      </c>
      <c r="D22" s="19" t="n"/>
      <c r="E22" s="179" t="n"/>
      <c r="F22" s="68">
        <f>IF(E22&gt;$M$6,"×","")</f>
        <v/>
      </c>
      <c r="G22" s="19" t="n"/>
      <c r="H22" s="179" t="n"/>
      <c r="I22" s="71">
        <f>IF(H22&gt;$M$6,"×","")</f>
        <v/>
      </c>
      <c r="J22" s="178">
        <f>IF(J21=$E$57,"-",IF(J21="-","-",J21+1))</f>
        <v/>
      </c>
      <c r="K22" s="91">
        <f>IF(J22="-","-",TEXT(WEEKDAY(J22),"aaa"))</f>
        <v/>
      </c>
      <c r="L22" s="19" t="n"/>
      <c r="M22" s="179" t="n"/>
      <c r="N22" s="68">
        <f>IF(M22&gt;$M$6,"×","")</f>
        <v/>
      </c>
      <c r="O22" s="19" t="n"/>
      <c r="P22" s="179" t="n"/>
      <c r="Q22" s="70">
        <f>IF(P22&gt;$M$6,"×","")</f>
        <v/>
      </c>
    </row>
    <row r="23" ht="21" customHeight="1" s="159">
      <c r="A23" s="20" t="n"/>
      <c r="B23" s="178">
        <f>IF(B22=$E$57,"-",IF(B22="-","-",B22+1))</f>
        <v/>
      </c>
      <c r="C23" s="91">
        <f>IF(B23="-","-",TEXT(WEEKDAY(B23),"aaa"))</f>
        <v/>
      </c>
      <c r="D23" s="19" t="n"/>
      <c r="E23" s="179" t="n"/>
      <c r="F23" s="68">
        <f>IF(E23&gt;$M$6,"×","")</f>
        <v/>
      </c>
      <c r="G23" s="19" t="n"/>
      <c r="H23" s="179" t="n"/>
      <c r="I23" s="71">
        <f>IF(H23&gt;$M$6,"×","")</f>
        <v/>
      </c>
      <c r="J23" s="178">
        <f>IF(J22=$E$57,"-",IF(J22="-","-",J22+1))</f>
        <v/>
      </c>
      <c r="K23" s="91">
        <f>IF(J23="-","-",TEXT(WEEKDAY(J23),"aaa"))</f>
        <v/>
      </c>
      <c r="L23" s="21" t="n"/>
      <c r="M23" s="179" t="n"/>
      <c r="N23" s="68">
        <f>IF(M23&gt;$M$6,"×","")</f>
        <v/>
      </c>
      <c r="O23" s="21" t="n"/>
      <c r="P23" s="179" t="n"/>
      <c r="Q23" s="70">
        <f>IF(P23&gt;$M$6,"×","")</f>
        <v/>
      </c>
    </row>
    <row r="24" ht="21" customHeight="1" s="159">
      <c r="A24" s="20" t="n"/>
      <c r="B24" s="178">
        <f>IF(B23=$E$57,"-",IF(B23="-","-",B23+1))</f>
        <v/>
      </c>
      <c r="C24" s="91">
        <f>IF(B24="-","-",TEXT(WEEKDAY(B24),"aaa"))</f>
        <v/>
      </c>
      <c r="D24" s="19" t="n"/>
      <c r="E24" s="179" t="n"/>
      <c r="F24" s="68">
        <f>IF(E24&gt;$M$6,"×","")</f>
        <v/>
      </c>
      <c r="G24" s="19" t="n"/>
      <c r="H24" s="179" t="n"/>
      <c r="I24" s="71">
        <f>IF(H24&gt;$M$6,"×","")</f>
        <v/>
      </c>
      <c r="J24" s="178">
        <f>IF(J23=$E$57,"-",IF(J23="-","-",J23+1))</f>
        <v/>
      </c>
      <c r="K24" s="91">
        <f>IF(J24="-","-",TEXT(WEEKDAY(J24),"aaa"))</f>
        <v/>
      </c>
      <c r="L24" s="21" t="n"/>
      <c r="M24" s="179" t="n"/>
      <c r="N24" s="68">
        <f>IF(M24&gt;$M$6,"×","")</f>
        <v/>
      </c>
      <c r="O24" s="21" t="n"/>
      <c r="P24" s="179" t="n"/>
      <c r="Q24" s="70">
        <f>IF(P24&gt;$M$6,"×","")</f>
        <v/>
      </c>
    </row>
    <row r="25" ht="21" customHeight="1" s="159">
      <c r="A25" s="20" t="n"/>
      <c r="B25" s="178">
        <f>IF(B24=$E$57,"-",IF(B24="-","-",B24+1))</f>
        <v/>
      </c>
      <c r="C25" s="91">
        <f>IF(B25="-","-",TEXT(WEEKDAY(B25),"aaa"))</f>
        <v/>
      </c>
      <c r="D25" s="19" t="n"/>
      <c r="E25" s="179" t="n"/>
      <c r="F25" s="68">
        <f>IF(E25&gt;$M$6,"×","")</f>
        <v/>
      </c>
      <c r="G25" s="19" t="n"/>
      <c r="H25" s="179" t="n"/>
      <c r="I25" s="71">
        <f>IF(H25&gt;$M$6,"×","")</f>
        <v/>
      </c>
      <c r="J25" s="178">
        <f>IF(J24=$E$57,"-",IF(J24="-","-",J24+1))</f>
        <v/>
      </c>
      <c r="K25" s="91">
        <f>IF(J25="-","-",TEXT(WEEKDAY(J25),"aaa"))</f>
        <v/>
      </c>
      <c r="L25" s="19" t="n"/>
      <c r="M25" s="179" t="n"/>
      <c r="N25" s="68">
        <f>IF(M25&gt;$M$6,"×","")</f>
        <v/>
      </c>
      <c r="O25" s="19" t="n"/>
      <c r="P25" s="179" t="n"/>
      <c r="Q25" s="70">
        <f>IF(P25&gt;$M$6,"×","")</f>
        <v/>
      </c>
    </row>
    <row r="26" ht="21" customHeight="1" s="159">
      <c r="A26" s="20" t="n"/>
      <c r="B26" s="178">
        <f>IF(B25=$E$57,"-",IF(B25="-","-",B25+1))</f>
        <v/>
      </c>
      <c r="C26" s="91">
        <f>IF(B26="-","-",TEXT(WEEKDAY(B26),"aaa"))</f>
        <v/>
      </c>
      <c r="D26" s="19" t="n"/>
      <c r="E26" s="179" t="n"/>
      <c r="F26" s="68">
        <f>IF(E26&gt;$M$6,"×","")</f>
        <v/>
      </c>
      <c r="G26" s="19" t="n"/>
      <c r="H26" s="179" t="n"/>
      <c r="I26" s="71">
        <f>IF(H26&gt;$M$6,"×","")</f>
        <v/>
      </c>
      <c r="J26" s="178">
        <f>IF(J25=$E$57,"-",IF(J25="-","-",J25+1))</f>
        <v/>
      </c>
      <c r="K26" s="91">
        <f>IF(J26="-","-",TEXT(WEEKDAY(J26),"aaa"))</f>
        <v/>
      </c>
      <c r="L26" s="19" t="n"/>
      <c r="M26" s="179" t="n"/>
      <c r="N26" s="68">
        <f>IF(M26&gt;$M$6,"×","")</f>
        <v/>
      </c>
      <c r="O26" s="19" t="n"/>
      <c r="P26" s="179" t="n"/>
      <c r="Q26" s="70">
        <f>IF(P26&gt;$M$6,"×","")</f>
        <v/>
      </c>
    </row>
    <row r="27" ht="21" customHeight="1" s="159" thickBot="1">
      <c r="A27" s="20" t="n"/>
      <c r="B27" s="181">
        <f>IF(B26=$E$57,"-",IF(B26="-","-",B26+1))</f>
        <v/>
      </c>
      <c r="C27" s="93">
        <f>IF(B27="-","-",TEXT(WEEKDAY(B27),"aaa"))</f>
        <v/>
      </c>
      <c r="D27" s="19" t="n"/>
      <c r="E27" s="179" t="n"/>
      <c r="F27" s="69">
        <f>IF(E27&gt;$M$6,"×","")</f>
        <v/>
      </c>
      <c r="G27" s="19" t="n"/>
      <c r="H27" s="179" t="n"/>
      <c r="I27" s="72">
        <f>IF(H27&gt;$M$6,"×","")</f>
        <v/>
      </c>
      <c r="J27" s="181">
        <f>IF(J26=$E$57,"-",IF(J26="-","-",J26+1))</f>
        <v/>
      </c>
      <c r="K27" s="93">
        <f>IF(J27="-","-",TEXT(WEEKDAY(J27),"aaa"))</f>
        <v/>
      </c>
      <c r="L27" s="19" t="n"/>
      <c r="M27" s="179" t="n"/>
      <c r="N27" s="68">
        <f>IF(M27&gt;$M$6,"×","")</f>
        <v/>
      </c>
      <c r="O27" s="19" t="n"/>
      <c r="P27" s="179" t="n"/>
      <c r="Q27" s="70">
        <f>IF(P27&gt;$M$6,"×","")</f>
        <v/>
      </c>
    </row>
    <row r="28" ht="21" customHeight="1" s="159" thickBot="1">
      <c r="A28" s="61" t="n"/>
      <c r="B28" s="23" t="n"/>
      <c r="C28" s="61" t="n"/>
      <c r="D28" s="23" t="n"/>
      <c r="E28" s="23" t="n"/>
      <c r="F28" s="23" t="n"/>
      <c r="G28" s="23" t="n"/>
      <c r="H28" s="23" t="n"/>
      <c r="I28" s="20" t="n"/>
      <c r="J28" s="182">
        <f>IF(J27=$E$57,"-",IF(J27="-","-",J27+1))</f>
        <v/>
      </c>
      <c r="K28" s="89">
        <f>IF(J28="-","-",TEXT(WEEKDAY(J28),"aaa"))</f>
        <v/>
      </c>
      <c r="L28" s="54" t="n"/>
      <c r="M28" s="60" t="n"/>
      <c r="N28" s="73">
        <f>IF(M28&gt;$M$6,"×","")</f>
        <v/>
      </c>
      <c r="O28" s="53" t="n"/>
      <c r="P28" s="183" t="n"/>
      <c r="Q28" s="74">
        <f>IF(P28&gt;$M$6,"×","")</f>
        <v/>
      </c>
    </row>
    <row r="29" ht="21" customHeight="1" s="159" thickBot="1">
      <c r="A29" s="61" t="n"/>
      <c r="B29" s="23" t="n"/>
      <c r="C29" s="61" t="n"/>
      <c r="D29" s="23" t="n"/>
      <c r="E29" s="23" t="n"/>
      <c r="F29" s="23" t="n"/>
      <c r="G29" s="23" t="n"/>
      <c r="H29" s="23" t="n"/>
      <c r="I29" s="81" t="n"/>
      <c r="J29" s="120" t="inlineStr">
        <is>
          <t>計</t>
        </is>
      </c>
      <c r="K29" s="184" t="n"/>
      <c r="L29" s="77">
        <f>COUNTA(D13:D27,L13:L28)</f>
        <v/>
      </c>
      <c r="M29" s="185">
        <f>SUM(E13:E27,M13:M28)</f>
        <v/>
      </c>
      <c r="N29" s="75" t="n"/>
      <c r="O29" s="79">
        <f>COUNTA(G13:G27,O13:O28)</f>
        <v/>
      </c>
      <c r="P29" s="185">
        <f>SUM(H13:H27,P13:P28)</f>
        <v/>
      </c>
      <c r="Q29" s="76" t="n"/>
    </row>
    <row r="30" ht="21" customHeight="1" s="159">
      <c r="A30" s="61" t="n"/>
      <c r="B30" s="23" t="n"/>
      <c r="C30" s="61" t="n"/>
      <c r="D30" s="23" t="n"/>
      <c r="E30" s="23" t="n"/>
      <c r="F30" s="23" t="n"/>
      <c r="G30" s="23" t="n"/>
      <c r="H30" s="23" t="n"/>
      <c r="I30" s="81" t="n"/>
      <c r="J30" s="23" t="n"/>
      <c r="K30" s="23" t="n"/>
      <c r="Q30" s="81" t="n"/>
    </row>
    <row r="31" ht="21" customHeight="1" s="159"/>
    <row r="32" ht="18" customHeight="1" s="159">
      <c r="A32" s="61" t="n"/>
      <c r="B32" s="122" t="inlineStr">
        <is>
          <t>利用確認回数</t>
        </is>
      </c>
      <c r="C32" s="164" t="n"/>
      <c r="D32" s="61" t="n"/>
      <c r="E32" s="123" t="inlineStr">
        <is>
          <t>利用金額合計</t>
        </is>
      </c>
      <c r="F32" s="163" t="n"/>
      <c r="G32" s="163" t="n"/>
      <c r="H32" s="164" t="n"/>
      <c r="I32" s="61" t="n"/>
      <c r="J32" s="186" t="inlineStr">
        <is>
          <t>実際に支給される特別料金等の額</t>
        </is>
      </c>
      <c r="K32" s="163" t="n"/>
      <c r="L32" s="163" t="n"/>
      <c r="M32" s="164" t="n"/>
      <c r="N32" s="61" t="n"/>
      <c r="O32" s="123" t="inlineStr">
        <is>
          <t>翌々月に調整される額</t>
        </is>
      </c>
      <c r="P32" s="163" t="n"/>
      <c r="Q32" s="163" t="n"/>
      <c r="R32" s="164" t="n"/>
      <c r="W32" s="25" t="n"/>
      <c r="Y32" s="187" t="n"/>
      <c r="Z32" s="187" t="n"/>
    </row>
    <row r="33" ht="18" customHeight="1" s="159">
      <c r="A33" s="61" t="n"/>
      <c r="B33" s="108">
        <f>L29+O29</f>
        <v/>
      </c>
      <c r="C33" s="164" t="n"/>
      <c r="D33" s="61" t="n"/>
      <c r="E33" s="188">
        <f>M29+P29</f>
        <v/>
      </c>
      <c r="F33" s="163" t="n"/>
      <c r="G33" s="163" t="n"/>
      <c r="H33" s="189" t="inlineStr">
        <is>
          <t>円</t>
        </is>
      </c>
      <c r="I33" s="61" t="n"/>
      <c r="J33" s="188">
        <f>IF(B33=0,0,E33)</f>
        <v/>
      </c>
      <c r="K33" s="163" t="n"/>
      <c r="L33" s="163" t="n"/>
      <c r="M33" s="189" t="inlineStr">
        <is>
          <t>円</t>
        </is>
      </c>
      <c r="N33" s="61" t="n"/>
      <c r="O33" s="188">
        <f>E33-M7</f>
        <v/>
      </c>
      <c r="P33" s="163" t="n"/>
      <c r="Q33" s="163" t="n"/>
      <c r="R33" s="189" t="inlineStr">
        <is>
          <t>円</t>
        </is>
      </c>
      <c r="W33" s="190" t="n"/>
    </row>
    <row r="34" ht="18" customHeight="1" s="159">
      <c r="A34" s="61" t="n"/>
      <c r="B34" s="61" t="n"/>
      <c r="C34" s="61" t="n"/>
      <c r="D34" s="61" t="n"/>
      <c r="E34" s="191">
        <f>IF(E33&gt;M7,"要確認！
加算額を超えています！","加算額以下ＯＫ")</f>
        <v/>
      </c>
      <c r="F34" s="192" t="n"/>
      <c r="G34" s="192" t="n"/>
      <c r="H34" s="193" t="n"/>
      <c r="I34" s="61" t="n"/>
      <c r="J34" s="61" t="n"/>
      <c r="K34" s="61" t="n"/>
      <c r="L34" s="61" t="n"/>
      <c r="M34" s="61" t="n"/>
      <c r="N34" s="61" t="n"/>
      <c r="O34" s="194">
        <f>IF(O33&gt;0,"増額調整",IF(O33=0,"調整不要",IF(O33&lt;0,"減額調整")))</f>
        <v/>
      </c>
      <c r="P34" s="163" t="n"/>
      <c r="Q34" s="163" t="n"/>
      <c r="R34" s="164" t="n"/>
    </row>
    <row r="35" ht="18" customHeight="1" s="159">
      <c r="A35" s="61" t="n"/>
      <c r="B35" s="61" t="n"/>
      <c r="C35" s="61" t="n"/>
      <c r="D35" s="61" t="n"/>
      <c r="E35" s="177" t="n"/>
      <c r="F35" s="160" t="n"/>
      <c r="G35" s="160" t="n"/>
      <c r="H35" s="195" t="n"/>
      <c r="I35" s="61" t="n"/>
      <c r="J35" s="61" t="n"/>
      <c r="K35" s="61" t="n"/>
      <c r="L35" s="61" t="n"/>
      <c r="M35" s="61" t="n"/>
      <c r="N35" s="61" t="n"/>
      <c r="O35" s="61" t="n"/>
      <c r="P35" s="61" t="n"/>
      <c r="Q35" s="61" t="n"/>
      <c r="R35" s="61" t="n"/>
    </row>
    <row r="36" ht="18" customHeight="1" s="159">
      <c r="A36" s="61" t="n"/>
      <c r="B36" s="61" t="n"/>
      <c r="C36" s="61" t="n"/>
      <c r="D36" s="61" t="n"/>
      <c r="E36" s="83" t="n"/>
      <c r="F36" s="83" t="n"/>
      <c r="G36" s="83" t="n"/>
      <c r="H36" s="83" t="n"/>
      <c r="I36" s="61" t="n"/>
      <c r="J36" s="61" t="n"/>
      <c r="K36" s="61" t="n"/>
      <c r="L36" s="61" t="n"/>
      <c r="M36" s="61" t="n"/>
      <c r="N36" s="61" t="n"/>
      <c r="O36" s="61" t="n"/>
      <c r="P36" s="61" t="n"/>
      <c r="Q36" s="61" t="n"/>
      <c r="R36" s="61" t="n"/>
    </row>
    <row r="37" ht="18" customHeight="1" s="159">
      <c r="A37" s="61" t="n"/>
      <c r="B37" s="61" t="n"/>
      <c r="C37" s="61" t="n"/>
      <c r="D37" s="61" t="n"/>
      <c r="E37" s="83" t="n"/>
      <c r="F37" s="83" t="n"/>
      <c r="G37" s="83" t="n"/>
      <c r="H37" s="83" t="n"/>
      <c r="I37" s="61" t="n"/>
      <c r="J37" s="61" t="n"/>
      <c r="K37" s="61" t="n"/>
      <c r="L37" s="61" t="n"/>
      <c r="M37" s="61" t="n"/>
      <c r="N37" s="61" t="n"/>
      <c r="O37" s="61" t="n"/>
      <c r="P37" s="61" t="n"/>
      <c r="Q37" s="61" t="n"/>
      <c r="R37" s="61" t="n"/>
    </row>
    <row r="38" ht="18" customHeight="1" s="159">
      <c r="A38" s="46" t="inlineStr">
        <is>
          <t>（記載要領）</t>
        </is>
      </c>
      <c r="B38" s="61" t="n"/>
      <c r="C38" s="61" t="n"/>
      <c r="D38" s="61" t="n"/>
      <c r="E38" s="61" t="n"/>
      <c r="F38" s="61" t="n"/>
      <c r="G38" s="61" t="n"/>
      <c r="H38" s="61" t="n"/>
      <c r="I38" s="52" t="n"/>
      <c r="J38" s="187" t="n"/>
      <c r="K38" s="61" t="n"/>
      <c r="L38" s="61" t="n"/>
      <c r="M38" s="61" t="n"/>
      <c r="N38" s="61" t="n"/>
      <c r="O38" s="61" t="n"/>
      <c r="P38" s="61" t="n"/>
      <c r="Q38" s="61" t="n"/>
      <c r="R38" s="61" t="n"/>
      <c r="S38" s="61" t="n"/>
      <c r="T38" s="61" t="n"/>
      <c r="U38" s="61" t="n"/>
    </row>
    <row r="39" ht="18" customHeight="1" s="159">
      <c r="A39" s="46" t="inlineStr">
        <is>
          <t>・往路、復路それぞれについて記入すること。</t>
        </is>
      </c>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row>
    <row r="40" ht="18" customHeight="1" s="159">
      <c r="A40" s="46" t="inlineStr">
        <is>
          <t>・「利用確認」欄には、領収書等により利用が確認できる場合に「○」を記入。</t>
        </is>
      </c>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row>
    <row r="41" ht="18" customHeight="1" s="159">
      <c r="A41" s="46" t="inlineStr">
        <is>
          <t xml:space="preserve">　自宅発着の旅行や1日年休を取得している場合は通勤での利用ではないため利用に含めないこと。</t>
        </is>
      </c>
      <c r="B41" s="61" t="n"/>
      <c r="C41" s="61" t="n"/>
      <c r="D41" s="61" t="n"/>
      <c r="E41" s="61" t="n"/>
      <c r="F41" s="61" t="n"/>
      <c r="G41" s="61" t="n"/>
      <c r="H41" s="61" t="n"/>
      <c r="I41" s="61" t="n"/>
      <c r="J41" s="61" t="n"/>
      <c r="K41" s="61" t="n"/>
      <c r="L41" s="61" t="n"/>
      <c r="M41" s="61" t="n"/>
      <c r="N41" s="61" t="n"/>
      <c r="O41" s="61" t="n"/>
      <c r="P41" s="61" t="n"/>
      <c r="Q41" s="61" t="n"/>
      <c r="R41" s="103" t="n"/>
      <c r="S41" s="61" t="n"/>
      <c r="T41" s="61" t="n"/>
      <c r="U41" s="61" t="n"/>
    </row>
    <row r="42" ht="17.25" customHeight="1" s="159">
      <c r="A42" s="46" t="inlineStr">
        <is>
          <t>・「利用金額」欄には、実際に負担した金額（割引や還元額を適用した額）を記入。</t>
        </is>
      </c>
      <c r="B42" s="61" t="n"/>
      <c r="C42" s="61" t="n"/>
      <c r="D42" s="61" t="n"/>
      <c r="E42" s="61" t="n"/>
      <c r="F42" s="61" t="n"/>
      <c r="G42" s="61" t="n"/>
      <c r="H42" s="61" t="n"/>
      <c r="I42" s="61" t="n"/>
      <c r="J42" s="61" t="n"/>
      <c r="K42" s="61" t="n"/>
      <c r="L42" s="61" t="n"/>
      <c r="M42" s="61" t="n"/>
      <c r="N42" s="61" t="n"/>
      <c r="O42" s="61" t="n"/>
      <c r="P42" s="61" t="n"/>
      <c r="Q42" s="61" t="n"/>
      <c r="R42" s="103" t="n"/>
      <c r="S42" s="61" t="n"/>
      <c r="T42" s="61" t="n"/>
      <c r="U42" s="61" t="n"/>
    </row>
    <row r="43" ht="16.5" customHeight="1" s="159">
      <c r="A43" s="46"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row>
    <row r="44" ht="16.5" customHeight="1" s="159">
      <c r="A44" s="50"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row>
    <row r="45" ht="16.5" customHeight="1" s="159">
      <c r="A45" s="103" t="n"/>
      <c r="R45" s="61" t="n"/>
      <c r="S45" s="61" t="n"/>
      <c r="T45" s="61" t="n"/>
      <c r="U45" s="61" t="n"/>
    </row>
    <row r="46" ht="16.5" customHeight="1" s="159">
      <c r="R46" s="61" t="n"/>
      <c r="S46" s="61" t="n"/>
      <c r="T46" s="61" t="n"/>
      <c r="U46" s="61" t="n"/>
    </row>
    <row r="47" ht="16.5" customHeight="1" s="159"/>
    <row r="48" ht="16.5" customHeight="1" s="159">
      <c r="B48" s="49" t="inlineStr">
        <is>
          <t>年</t>
        </is>
      </c>
      <c r="C48" s="28" t="inlineStr">
        <is>
          <t>月</t>
        </is>
      </c>
      <c r="D48" s="29" t="inlineStr">
        <is>
          <t>利用確認欄</t>
        </is>
      </c>
      <c r="E48" s="30" t="n"/>
      <c r="F48" s="31" t="n"/>
      <c r="G48" s="56" t="n"/>
      <c r="H48" s="61" t="n"/>
      <c r="I48" s="40" t="n"/>
    </row>
    <row r="49" ht="16.5" customHeight="1" s="159">
      <c r="B49" s="33" t="n">
        <v>5</v>
      </c>
      <c r="C49" s="48" t="n">
        <v>1</v>
      </c>
      <c r="D49" s="34" t="inlineStr">
        <is>
          <t>〇</t>
        </is>
      </c>
      <c r="E49" s="35" t="n"/>
      <c r="F49" s="36" t="n"/>
      <c r="G49" s="57" t="n"/>
      <c r="H49" s="61" t="n"/>
      <c r="I49" s="41" t="n"/>
    </row>
    <row r="50" ht="16.5" customHeight="1" s="159">
      <c r="B50" s="33" t="n">
        <v>6</v>
      </c>
      <c r="C50" s="48" t="n">
        <v>2</v>
      </c>
      <c r="D50" s="34" t="inlineStr">
        <is>
          <t>週休日</t>
        </is>
      </c>
      <c r="E50" s="35" t="n"/>
      <c r="F50" s="36" t="n"/>
      <c r="G50" s="56" t="n"/>
      <c r="H50" s="61" t="n"/>
      <c r="I50" s="41" t="n"/>
      <c r="J50" s="38" t="n"/>
      <c r="K50" s="38" t="n"/>
      <c r="L50" s="41" t="n"/>
    </row>
    <row r="51" ht="16.5" customHeight="1" s="159">
      <c r="B51" s="33" t="n">
        <v>7</v>
      </c>
      <c r="C51" s="48" t="n">
        <v>3</v>
      </c>
      <c r="D51" s="34" t="inlineStr">
        <is>
          <t>旅行</t>
        </is>
      </c>
      <c r="E51" s="35" t="n"/>
      <c r="F51" s="36" t="n"/>
      <c r="G51" s="57" t="n"/>
      <c r="H51" s="61" t="n"/>
      <c r="I51" s="40" t="n"/>
      <c r="J51" s="38" t="n"/>
      <c r="K51" s="38" t="n"/>
      <c r="L51" s="41" t="n"/>
    </row>
    <row r="52" ht="16.5" customHeight="1" s="159">
      <c r="B52" s="33" t="n">
        <v>8</v>
      </c>
      <c r="C52" s="48" t="n">
        <v>4</v>
      </c>
      <c r="D52" s="34" t="inlineStr">
        <is>
          <t>通行止</t>
        </is>
      </c>
      <c r="E52" s="35" t="n"/>
      <c r="F52" s="36" t="n"/>
      <c r="G52" s="57" t="n"/>
      <c r="H52" s="61" t="n"/>
      <c r="I52" s="41" t="n"/>
      <c r="J52" s="38" t="n"/>
      <c r="K52" s="38" t="n"/>
      <c r="L52" s="41" t="n"/>
    </row>
    <row r="53" ht="16.5" customHeight="1" s="159">
      <c r="B53" s="45" t="n"/>
      <c r="C53" s="28" t="n">
        <v>5</v>
      </c>
      <c r="D53" s="34" t="inlineStr">
        <is>
          <t>年休</t>
        </is>
      </c>
      <c r="E53" s="35" t="n"/>
      <c r="F53" s="36" t="n"/>
      <c r="G53" s="57" t="n"/>
      <c r="H53" s="61" t="n"/>
      <c r="I53" s="41" t="n"/>
      <c r="J53" s="38" t="n"/>
      <c r="K53" s="38" t="n"/>
      <c r="L53" s="41" t="n"/>
    </row>
    <row r="54" ht="16.5" customHeight="1" s="159">
      <c r="B54" s="45" t="n"/>
      <c r="C54" s="28" t="n">
        <v>6</v>
      </c>
      <c r="D54" s="34" t="inlineStr">
        <is>
          <t>特休</t>
        </is>
      </c>
      <c r="E54" s="35" t="n"/>
      <c r="F54" s="36" t="n"/>
      <c r="G54" s="57" t="n"/>
      <c r="H54" s="61" t="n"/>
      <c r="I54" s="41" t="n"/>
      <c r="J54" s="38" t="n"/>
      <c r="K54" s="38" t="n"/>
      <c r="L54" s="41" t="n"/>
    </row>
    <row r="55" ht="16.5" customHeight="1" s="159">
      <c r="B55" s="45" t="n"/>
      <c r="C55" s="28" t="n">
        <v>7</v>
      </c>
      <c r="D55" s="34" t="inlineStr">
        <is>
          <t>その他</t>
        </is>
      </c>
      <c r="E55" s="35" t="n"/>
      <c r="F55" s="36" t="n"/>
      <c r="G55" s="57" t="n"/>
      <c r="H55" s="61" t="n"/>
      <c r="I55" s="41" t="n"/>
      <c r="J55" s="38" t="n"/>
      <c r="K55" s="38" t="n"/>
      <c r="L55" s="41" t="n"/>
    </row>
    <row r="56" ht="16.5" customHeight="1" s="159">
      <c r="B56" s="45" t="n"/>
      <c r="C56" s="28" t="n">
        <v>8</v>
      </c>
      <c r="D56" s="28" t="inlineStr">
        <is>
          <t>初日</t>
        </is>
      </c>
      <c r="E56" s="196">
        <f>DATE($B$5+2018,$D$5,1)</f>
        <v/>
      </c>
      <c r="F56" s="164" t="n"/>
      <c r="G56" s="57" t="n"/>
      <c r="H56" s="61" t="n"/>
      <c r="I56" s="41" t="n"/>
      <c r="J56" s="38" t="n"/>
      <c r="K56" s="38" t="n"/>
      <c r="L56" s="41" t="n"/>
    </row>
    <row r="57" ht="16.5" customHeight="1" s="159">
      <c r="B57" s="42" t="n"/>
      <c r="C57" s="28" t="n">
        <v>9</v>
      </c>
      <c r="D57" s="28" t="inlineStr">
        <is>
          <t>末日</t>
        </is>
      </c>
      <c r="E57" s="197">
        <f>DATE(YEAR($E$56),MONTH($E$56)+1,1)-1</f>
        <v/>
      </c>
      <c r="F57" s="164" t="n"/>
      <c r="G57" s="198" t="n"/>
      <c r="H57" s="61" t="n"/>
      <c r="I57" s="41" t="n"/>
      <c r="J57" s="38" t="n"/>
      <c r="K57" s="38" t="n"/>
      <c r="L57" s="41" t="n"/>
    </row>
    <row r="58" ht="16.5" customHeight="1" s="159">
      <c r="B58" s="42" t="n"/>
      <c r="C58" s="28" t="n">
        <v>10</v>
      </c>
      <c r="D58" s="43" t="n"/>
      <c r="E58" s="43" t="n"/>
      <c r="F58" s="43" t="n"/>
      <c r="G58" s="199" t="n"/>
      <c r="H58" s="38" t="n"/>
      <c r="I58" s="38" t="n"/>
      <c r="J58" s="41" t="n"/>
    </row>
    <row r="59" ht="16.5" customHeight="1" s="159">
      <c r="B59" s="42" t="n"/>
      <c r="C59" s="28" t="n">
        <v>11</v>
      </c>
      <c r="D59" s="43" t="n"/>
      <c r="E59" s="43" t="n"/>
      <c r="F59" s="43" t="n"/>
      <c r="G59" s="43" t="n"/>
      <c r="H59" s="38" t="n"/>
      <c r="I59" s="38" t="n"/>
      <c r="J59" s="41" t="n"/>
    </row>
    <row r="60" ht="16.5" customHeight="1" s="159">
      <c r="B60" s="42" t="n"/>
      <c r="C60" s="28" t="n">
        <v>12</v>
      </c>
      <c r="D60" s="38" t="n"/>
      <c r="E60" s="38" t="n"/>
      <c r="F60" s="38" t="n"/>
      <c r="G60" s="43" t="n"/>
      <c r="H60" s="38" t="n"/>
      <c r="I60" s="38" t="n"/>
      <c r="J60" s="41" t="n"/>
    </row>
    <row r="61" ht="16.5" customHeight="1" s="159">
      <c r="B61" s="44" t="n"/>
      <c r="C61" s="28" t="n"/>
      <c r="D61" s="38" t="n"/>
      <c r="E61" s="38" t="n"/>
      <c r="F61" s="38" t="n"/>
      <c r="G61" s="38" t="n"/>
      <c r="H61" s="38" t="n"/>
      <c r="I61" s="38" t="n"/>
      <c r="J61" s="41" t="n"/>
    </row>
    <row r="62" ht="16.5" customHeight="1" s="159">
      <c r="D62" s="38" t="n"/>
      <c r="E62" s="38" t="n"/>
      <c r="F62" s="38" t="n"/>
      <c r="G62" s="38" t="n"/>
      <c r="H62" s="38" t="n"/>
      <c r="I62" s="38" t="n"/>
      <c r="J62" s="41" t="n"/>
    </row>
    <row r="63" ht="16.5" customHeight="1" s="159">
      <c r="D63" s="38" t="n"/>
      <c r="E63" s="38" t="n"/>
      <c r="F63" s="38" t="n"/>
      <c r="G63" s="38" t="n"/>
      <c r="H63" s="38" t="n"/>
      <c r="I63" s="38" t="n"/>
      <c r="J63" s="41" t="n"/>
    </row>
    <row r="64" ht="16.5" customHeight="1" s="159">
      <c r="D64" s="38" t="n"/>
      <c r="E64" s="38" t="n"/>
      <c r="F64" s="38" t="n"/>
      <c r="G64" s="38" t="n"/>
      <c r="H64" s="38" t="n"/>
      <c r="I64" s="38" t="n"/>
      <c r="J64" s="41" t="n"/>
    </row>
    <row r="65" ht="16.5" customHeight="1" s="159">
      <c r="D65" s="38" t="n"/>
      <c r="E65" s="38" t="n"/>
      <c r="F65" s="38" t="n"/>
      <c r="G65" s="38" t="n"/>
      <c r="H65" s="38" t="n"/>
      <c r="I65" s="38" t="n"/>
      <c r="J65" s="41" t="n"/>
    </row>
    <row r="66" ht="16.5" customHeight="1" s="159">
      <c r="D66" s="38" t="n"/>
      <c r="E66" s="38" t="n"/>
      <c r="F66" s="38" t="n"/>
      <c r="G66" s="38" t="n"/>
      <c r="H66" s="38" t="n"/>
      <c r="I66" s="38" t="n"/>
      <c r="J66" s="41" t="n"/>
    </row>
    <row r="67" ht="16.5" customHeight="1" s="159">
      <c r="D67" s="38" t="n"/>
      <c r="E67" s="38" t="n"/>
      <c r="F67" s="38" t="n"/>
      <c r="G67" s="38" t="n"/>
      <c r="H67" s="38" t="n"/>
      <c r="I67" s="38" t="n"/>
      <c r="J67" s="41" t="n"/>
    </row>
    <row r="68" ht="16.5" customHeight="1" s="159">
      <c r="D68" s="38" t="n"/>
      <c r="E68" s="38" t="n"/>
      <c r="F68" s="38" t="n"/>
      <c r="G68" s="38" t="n"/>
      <c r="H68" s="38" t="n"/>
      <c r="I68" s="38" t="n"/>
      <c r="J68" s="41" t="n"/>
    </row>
    <row r="69" ht="16.5" customHeight="1" s="159">
      <c r="G69" s="38" t="n"/>
      <c r="H69" s="38" t="n"/>
      <c r="I69" s="38" t="n"/>
      <c r="J69" s="41" t="n"/>
    </row>
    <row r="70" ht="16.5" customHeight="1" s="159">
      <c r="H70" s="38" t="n"/>
      <c r="I70" s="38" t="n"/>
      <c r="J70" s="41" t="n"/>
    </row>
    <row r="71" ht="16.5" customHeight="1" s="159"/>
  </sheetData>
  <mergeCells count="34">
    <mergeCell ref="J6:L6"/>
    <mergeCell ref="D11:F11"/>
    <mergeCell ref="J29:K29"/>
    <mergeCell ref="B11:B12"/>
    <mergeCell ref="M5:N5"/>
    <mergeCell ref="E32:H32"/>
    <mergeCell ref="E34:H35"/>
    <mergeCell ref="J11:J12"/>
    <mergeCell ref="J7:L7"/>
    <mergeCell ref="K11:K12"/>
    <mergeCell ref="C11:C12"/>
    <mergeCell ref="O34:R34"/>
    <mergeCell ref="A3:B3"/>
    <mergeCell ref="O11:Q11"/>
    <mergeCell ref="L11:N11"/>
    <mergeCell ref="J33:L33"/>
    <mergeCell ref="A1:S1"/>
    <mergeCell ref="N3:Q3"/>
    <mergeCell ref="C3:H3"/>
    <mergeCell ref="O32:R32"/>
    <mergeCell ref="G11:I11"/>
    <mergeCell ref="E57:F57"/>
    <mergeCell ref="J5:L5"/>
    <mergeCell ref="O33:Q33"/>
    <mergeCell ref="E33:G33"/>
    <mergeCell ref="B33:C33"/>
    <mergeCell ref="M7:P7"/>
    <mergeCell ref="A45:Q46"/>
    <mergeCell ref="M6:P6"/>
    <mergeCell ref="B32:C32"/>
    <mergeCell ref="P5:Q5"/>
    <mergeCell ref="J32:M32"/>
    <mergeCell ref="E56:F56"/>
    <mergeCell ref="K3:L3"/>
  </mergeCells>
  <conditionalFormatting sqref="F13:F27 I13:I27 N13:N28 Q13:Q28">
    <cfRule type="containsText" priority="31" operator="containsText" dxfId="2" stopIfTrue="1" text="×">
      <formula>NOT(ISERROR(SEARCH("×",F13)))</formula>
    </cfRule>
  </conditionalFormatting>
  <conditionalFormatting sqref="J33:L33">
    <cfRule type="cellIs" priority="30" operator="greaterThan" dxfId="1" stopIfTrue="1">
      <formula>$M$7</formula>
    </cfRule>
  </conditionalFormatting>
  <conditionalFormatting sqref="D13:D19 D24:D26 G18 L28 O28">
    <cfRule type="cellIs" priority="29" operator="notEqual" dxfId="0">
      <formula>"〇"</formula>
    </cfRule>
  </conditionalFormatting>
  <conditionalFormatting sqref="G13:G17">
    <cfRule type="cellIs" priority="28" operator="notEqual" dxfId="0">
      <formula>"〇"</formula>
    </cfRule>
  </conditionalFormatting>
  <conditionalFormatting sqref="D19:D24">
    <cfRule type="cellIs" priority="27" operator="notEqual" dxfId="0">
      <formula>"〇"</formula>
    </cfRule>
  </conditionalFormatting>
  <conditionalFormatting sqref="D27">
    <cfRule type="cellIs" priority="25" operator="notEqual" dxfId="0">
      <formula>"〇"</formula>
    </cfRule>
  </conditionalFormatting>
  <conditionalFormatting sqref="L17:L18 L23:L25">
    <cfRule type="cellIs" priority="23" operator="notEqual" dxfId="0">
      <formula>"〇"</formula>
    </cfRule>
  </conditionalFormatting>
  <conditionalFormatting sqref="L13:L16">
    <cfRule type="cellIs" priority="22" operator="notEqual" dxfId="0">
      <formula>"〇"</formula>
    </cfRule>
  </conditionalFormatting>
  <conditionalFormatting sqref="L18:L23">
    <cfRule type="cellIs" priority="21" operator="notEqual" dxfId="0">
      <formula>"〇"</formula>
    </cfRule>
  </conditionalFormatting>
  <conditionalFormatting sqref="L26">
    <cfRule type="cellIs" priority="20" operator="notEqual" dxfId="0">
      <formula>"〇"</formula>
    </cfRule>
    <cfRule type="cellIs" priority="7" operator="notEqual" dxfId="0">
      <formula>"〇"</formula>
    </cfRule>
  </conditionalFormatting>
  <conditionalFormatting sqref="L27">
    <cfRule type="cellIs" priority="19" operator="notEqual" dxfId="0">
      <formula>"〇"</formula>
    </cfRule>
  </conditionalFormatting>
  <conditionalFormatting sqref="O17">
    <cfRule type="cellIs" priority="18" operator="notEqual" dxfId="0">
      <formula>"〇"</formula>
    </cfRule>
  </conditionalFormatting>
  <conditionalFormatting sqref="O13:O16">
    <cfRule type="cellIs" priority="17" operator="notEqual" dxfId="0">
      <formula>"〇"</formula>
    </cfRule>
  </conditionalFormatting>
  <conditionalFormatting sqref="D26">
    <cfRule type="cellIs" priority="13" operator="notEqual" dxfId="0">
      <formula>"〇"</formula>
    </cfRule>
  </conditionalFormatting>
  <conditionalFormatting sqref="G19 G24:G26">
    <cfRule type="cellIs" priority="12" operator="notEqual" dxfId="0">
      <formula>"〇"</formula>
    </cfRule>
  </conditionalFormatting>
  <conditionalFormatting sqref="G19:G24">
    <cfRule type="cellIs" priority="11" operator="notEqual" dxfId="0">
      <formula>"〇"</formula>
    </cfRule>
  </conditionalFormatting>
  <conditionalFormatting sqref="G27">
    <cfRule type="cellIs" priority="10" operator="notEqual" dxfId="0">
      <formula>"〇"</formula>
    </cfRule>
  </conditionalFormatting>
  <conditionalFormatting sqref="G26">
    <cfRule type="cellIs" priority="9" operator="notEqual" dxfId="0">
      <formula>"〇"</formula>
    </cfRule>
  </conditionalFormatting>
  <conditionalFormatting sqref="L25">
    <cfRule type="cellIs" priority="8" operator="notEqual" dxfId="0">
      <formula>"〇"</formula>
    </cfRule>
  </conditionalFormatting>
  <conditionalFormatting sqref="O18 O23:O25">
    <cfRule type="cellIs" priority="6" operator="notEqual" dxfId="0">
      <formula>"〇"</formula>
    </cfRule>
  </conditionalFormatting>
  <conditionalFormatting sqref="O18:O23">
    <cfRule type="cellIs" priority="5" operator="notEqual" dxfId="0">
      <formula>"〇"</formula>
    </cfRule>
  </conditionalFormatting>
  <conditionalFormatting sqref="O26">
    <cfRule type="cellIs" priority="4" operator="notEqual" dxfId="0">
      <formula>"〇"</formula>
    </cfRule>
    <cfRule type="cellIs" priority="1" operator="notEqual" dxfId="0">
      <formula>"〇"</formula>
    </cfRule>
  </conditionalFormatting>
  <conditionalFormatting sqref="O27">
    <cfRule type="cellIs" priority="3" operator="notEqual" dxfId="0">
      <formula>"〇"</formula>
    </cfRule>
  </conditionalFormatting>
  <conditionalFormatting sqref="O25">
    <cfRule type="cellIs" priority="2" operator="notEqual" dxfId="0">
      <formula>"〇"</formula>
    </cfRule>
  </conditionalFormatting>
  <dataValidations count="3">
    <dataValidation sqref="D13:D27 G13:G27 L13:L28 O13:O28" showDropDown="0" showInputMessage="1" showErrorMessage="1" allowBlank="1" type="list">
      <formula1>$D$49:$D$55</formula1>
    </dataValidation>
    <dataValidation sqref="D5:D6" showDropDown="0" showInputMessage="1" showErrorMessage="1" allowBlank="1" type="list">
      <formula1>$C$49:$C$61</formula1>
    </dataValidation>
    <dataValidation sqref="B5:B6" showDropDown="0" showInputMessage="1" showErrorMessage="1" allowBlank="1" type="list">
      <formula1>$B$49:$B$55</formula1>
    </dataValidation>
  </dataValidations>
  <pageMargins left="0.7086614173228347" right="0.7086614173228347" top="0.7480314960629921" bottom="0.7480314960629921" header="0.3149606299212598" footer="0.3149606299212598"/>
  <pageSetup orientation="portrait" paperSize="9" scale="74" fitToHeight="0" cellComments="asDisplayed"/>
</worksheet>
</file>

<file path=xl/worksheets/sheet2.xml><?xml version="1.0" encoding="utf-8"?>
<worksheet xmlns="http://schemas.openxmlformats.org/spreadsheetml/2006/main">
  <sheetPr>
    <outlinePr summaryBelow="1" summaryRight="1"/>
    <pageSetUpPr fitToPage="1"/>
  </sheetPr>
  <dimension ref="A1:Z70"/>
  <sheetViews>
    <sheetView view="pageBreakPreview" topLeftCell="A4" zoomScaleNormal="100" zoomScaleSheetLayoutView="100" workbookViewId="0">
      <selection activeCell="K4" sqref="K4"/>
    </sheetView>
  </sheetViews>
  <sheetFormatPr baseColWidth="8" defaultColWidth="5.875" defaultRowHeight="36" customHeight="1"/>
  <cols>
    <col width="6.75" customWidth="1" style="23" min="1" max="1"/>
    <col width="6.125" customWidth="1" style="61" min="2" max="2"/>
    <col width="6.125" customWidth="1" style="23" min="3" max="3"/>
    <col width="6.75" customWidth="1" style="23" min="4" max="4"/>
    <col width="7.875" customWidth="1" style="23" min="5" max="5"/>
    <col width="5.75" customWidth="1" style="23" min="6" max="6"/>
    <col width="6.75" customWidth="1" style="23" min="7" max="7"/>
    <col width="7.875" customWidth="1" style="23" min="8" max="8"/>
    <col width="5.875" customWidth="1" style="23" min="9" max="9"/>
    <col width="6.125" customWidth="1" style="61" min="10" max="11"/>
    <col width="6.75" customWidth="1" style="61" min="12" max="12"/>
    <col width="7.875" customWidth="1" style="61" min="13" max="13"/>
    <col width="6.125" customWidth="1" style="61" min="14" max="14"/>
    <col width="6.75" customWidth="1" style="61" min="15" max="15"/>
    <col width="7.875" customWidth="1" style="61" min="16" max="16"/>
    <col width="5.75" customWidth="1" style="61" min="17" max="17"/>
    <col width="6.75" customWidth="1" style="61" min="18" max="23"/>
    <col width="7.25" customWidth="1" style="61" min="24" max="24"/>
    <col width="5.875" customWidth="1" style="61" min="25" max="27"/>
    <col width="9.375" bestFit="1" customWidth="1" style="61" min="28" max="28"/>
    <col width="5.875" customWidth="1" style="61" min="29" max="16384"/>
  </cols>
  <sheetData>
    <row r="1" ht="24" customHeight="1" s="159">
      <c r="A1" s="156" t="inlineStr">
        <is>
          <t>高速道路等利用実績簿</t>
        </is>
      </c>
      <c r="T1" s="82" t="n"/>
      <c r="U1" s="82" t="n"/>
      <c r="V1" s="82" t="n"/>
      <c r="W1" s="156" t="n"/>
    </row>
    <row r="2" ht="17.25" customHeight="1" s="159">
      <c r="A2" s="156" t="n"/>
      <c r="B2" s="156" t="n"/>
      <c r="C2" s="156" t="n"/>
      <c r="D2" s="156" t="n"/>
      <c r="E2" s="156" t="n"/>
      <c r="F2" s="156" t="n"/>
      <c r="G2" s="156" t="n"/>
      <c r="H2" s="156" t="n"/>
      <c r="I2" s="156" t="n"/>
      <c r="J2" s="156" t="n"/>
      <c r="K2" s="156" t="n"/>
      <c r="L2" s="156" t="n"/>
      <c r="M2" s="156" t="n"/>
      <c r="N2" s="156" t="n"/>
      <c r="O2" s="156" t="n"/>
      <c r="P2" s="156" t="n"/>
      <c r="Q2" s="156" t="n"/>
      <c r="R2" s="156" t="n"/>
      <c r="S2" s="156" t="n"/>
    </row>
    <row r="3" ht="24" customHeight="1" s="159">
      <c r="A3" s="157" t="inlineStr">
        <is>
          <t>所　　属</t>
        </is>
      </c>
      <c r="B3" s="160" t="n"/>
      <c r="C3" s="158" t="inlineStr">
        <is>
          <t>日田高等学校</t>
        </is>
      </c>
      <c r="D3" s="161" t="n"/>
      <c r="E3" s="161" t="n"/>
      <c r="F3" s="161" t="n"/>
      <c r="G3" s="161" t="n"/>
      <c r="H3" s="161" t="n"/>
      <c r="J3" s="157" t="inlineStr">
        <is>
          <t>職</t>
        </is>
      </c>
      <c r="K3" s="158" t="inlineStr">
        <is>
          <t>教諭</t>
        </is>
      </c>
      <c r="L3" s="161" t="n"/>
      <c r="M3" s="157" t="inlineStr">
        <is>
          <t>氏名</t>
        </is>
      </c>
      <c r="N3" s="158" t="inlineStr">
        <is>
          <t>伊藤</t>
        </is>
      </c>
      <c r="O3" s="161" t="n"/>
      <c r="P3" s="161" t="n"/>
      <c r="Q3" s="161" t="n"/>
      <c r="R3" s="63" t="n"/>
      <c r="S3" s="5" t="n"/>
    </row>
    <row r="4" ht="8.25" customHeight="1" s="159">
      <c r="A4" s="61" t="n"/>
      <c r="S4" s="61" t="n"/>
    </row>
    <row r="5" ht="24" customHeight="1" s="159">
      <c r="A5" s="85" t="inlineStr">
        <is>
          <t>令和</t>
        </is>
      </c>
      <c r="B5" s="158" t="n">
        <v>6</v>
      </c>
      <c r="C5" s="64" t="inlineStr">
        <is>
          <t>年</t>
        </is>
      </c>
      <c r="D5" s="158" t="n">
        <v>4</v>
      </c>
      <c r="E5" s="64" t="inlineStr">
        <is>
          <t>月分</t>
        </is>
      </c>
      <c r="J5" s="162" t="inlineStr">
        <is>
          <t>高速道路利用区間</t>
        </is>
      </c>
      <c r="K5" s="163" t="n"/>
      <c r="L5" s="164" t="n"/>
      <c r="M5" s="153" t="n"/>
      <c r="N5" s="165" t="n"/>
      <c r="O5" s="9" t="inlineStr">
        <is>
          <t>～</t>
        </is>
      </c>
      <c r="P5" s="155" t="n"/>
      <c r="Q5" s="166" t="n"/>
      <c r="R5" s="62" t="n"/>
      <c r="S5" s="10" t="n"/>
    </row>
    <row r="6" ht="24" customHeight="1" s="159">
      <c r="A6" s="64" t="n"/>
      <c r="B6" s="63" t="n"/>
      <c r="C6" s="64" t="n"/>
      <c r="D6" s="63" t="n"/>
      <c r="E6" s="64" t="n"/>
      <c r="J6" s="167" t="inlineStr">
        <is>
          <t>利用区間の片道料金
（割引前）</t>
        </is>
      </c>
      <c r="K6" s="163" t="n"/>
      <c r="L6" s="164" t="n"/>
      <c r="M6" s="133" t="n"/>
      <c r="N6" s="165" t="n"/>
      <c r="O6" s="165" t="n"/>
      <c r="P6" s="165" t="n"/>
      <c r="Q6" s="152" t="inlineStr">
        <is>
          <t>円</t>
        </is>
      </c>
      <c r="R6" s="61" t="n"/>
      <c r="S6" s="10" t="n"/>
    </row>
    <row r="7" ht="24" customHeight="1" s="159">
      <c r="A7" s="61" t="n"/>
      <c r="B7" s="11" t="n"/>
      <c r="C7" s="12" t="n"/>
      <c r="D7" s="168" t="n"/>
      <c r="E7" s="12" t="n"/>
      <c r="F7" s="168" t="n"/>
      <c r="J7" s="167" t="inlineStr">
        <is>
          <t>１ヶ月の特別料金等加算額
（認定額）</t>
        </is>
      </c>
      <c r="K7" s="163" t="n"/>
      <c r="L7" s="164" t="n"/>
      <c r="M7" s="137">
        <f>M6*42</f>
        <v/>
      </c>
      <c r="N7" s="165" t="n"/>
      <c r="O7" s="165" t="n"/>
      <c r="P7" s="165" t="n"/>
      <c r="Q7" s="152" t="inlineStr">
        <is>
          <t>円</t>
        </is>
      </c>
      <c r="R7" s="61" t="n"/>
      <c r="S7" s="61" t="n"/>
    </row>
    <row r="8" ht="24" customHeight="1" s="159">
      <c r="A8" s="61" t="n"/>
      <c r="B8" s="11" t="n"/>
      <c r="C8" s="12" t="n"/>
      <c r="D8" s="168" t="n"/>
      <c r="E8" s="12" t="n"/>
      <c r="F8" s="168" t="n"/>
      <c r="J8" s="80" t="n"/>
      <c r="K8" s="81" t="n"/>
      <c r="L8" s="61" t="n"/>
      <c r="M8" s="61" t="n"/>
      <c r="N8" s="61" t="n"/>
      <c r="O8" s="61" t="n"/>
      <c r="P8" s="61" t="n"/>
      <c r="Q8" s="61" t="n"/>
      <c r="R8" s="61" t="n"/>
      <c r="S8" s="61" t="n"/>
    </row>
    <row r="9" ht="24" customHeight="1" s="159">
      <c r="A9" s="61" t="n"/>
      <c r="B9" s="11" t="n"/>
      <c r="C9" s="12" t="n"/>
      <c r="D9" s="168" t="n"/>
      <c r="E9" s="12" t="n"/>
      <c r="F9" s="168" t="n"/>
      <c r="J9" s="80" t="n"/>
      <c r="K9" s="81" t="n"/>
      <c r="L9" s="61" t="n"/>
      <c r="M9" s="61" t="n"/>
      <c r="N9" s="61" t="n"/>
      <c r="O9" s="61" t="n"/>
      <c r="P9" s="61" t="n"/>
      <c r="Q9" s="61" t="n"/>
      <c r="R9" s="61" t="n"/>
      <c r="S9" s="61" t="n"/>
    </row>
    <row r="10" ht="24" customHeight="1" s="159" thickBot="1">
      <c r="I10" s="23" t="inlineStr">
        <is>
          <t>　</t>
        </is>
      </c>
      <c r="S10" s="61" t="n"/>
    </row>
    <row r="11" ht="30" customHeight="1" s="159">
      <c r="A11" s="23" t="n"/>
      <c r="B11" s="138" t="inlineStr">
        <is>
          <t>日</t>
        </is>
      </c>
      <c r="C11" s="140" t="inlineStr">
        <is>
          <t>曜日</t>
        </is>
      </c>
      <c r="D11" s="170" t="inlineStr">
        <is>
          <t>往　路</t>
        </is>
      </c>
      <c r="E11" s="171" t="n"/>
      <c r="F11" s="172" t="n"/>
      <c r="G11" s="173" t="inlineStr">
        <is>
          <t>復　路</t>
        </is>
      </c>
      <c r="H11" s="171" t="n"/>
      <c r="I11" s="174" t="n"/>
      <c r="J11" s="138" t="inlineStr">
        <is>
          <t>日</t>
        </is>
      </c>
      <c r="K11" s="148" t="inlineStr">
        <is>
          <t>曜日</t>
        </is>
      </c>
      <c r="L11" s="170" t="inlineStr">
        <is>
          <t>往　路</t>
        </is>
      </c>
      <c r="M11" s="171" t="n"/>
      <c r="N11" s="172" t="n"/>
      <c r="O11" s="173" t="inlineStr">
        <is>
          <t>復　路</t>
        </is>
      </c>
      <c r="P11" s="171" t="n"/>
      <c r="Q11" s="174" t="n"/>
    </row>
    <row r="12" ht="24.75" customFormat="1" customHeight="1" s="23">
      <c r="A12" s="18" t="n"/>
      <c r="B12" s="175" t="n"/>
      <c r="C12" s="176" t="n"/>
      <c r="D12" s="94" t="inlineStr">
        <is>
          <t>利用確認</t>
        </is>
      </c>
      <c r="E12" s="95" t="inlineStr">
        <is>
          <t>利用金額</t>
        </is>
      </c>
      <c r="F12" s="96" t="inlineStr">
        <is>
          <t>確認</t>
        </is>
      </c>
      <c r="G12" s="94" t="inlineStr">
        <is>
          <t>利用確認</t>
        </is>
      </c>
      <c r="H12" s="95" t="inlineStr">
        <is>
          <t>利用金額</t>
        </is>
      </c>
      <c r="I12" s="97" t="inlineStr">
        <is>
          <t>確認</t>
        </is>
      </c>
      <c r="J12" s="175" t="n"/>
      <c r="K12" s="177" t="n"/>
      <c r="L12" s="94" t="inlineStr">
        <is>
          <t>利用確認</t>
        </is>
      </c>
      <c r="M12" s="95" t="inlineStr">
        <is>
          <t>利用金額</t>
        </is>
      </c>
      <c r="N12" s="98" t="inlineStr">
        <is>
          <t>確認</t>
        </is>
      </c>
      <c r="O12" s="99" t="inlineStr">
        <is>
          <t>利用確認</t>
        </is>
      </c>
      <c r="P12" s="95" t="inlineStr">
        <is>
          <t>利用金額</t>
        </is>
      </c>
      <c r="Q12" s="97" t="inlineStr">
        <is>
          <t>確認</t>
        </is>
      </c>
    </row>
    <row r="13" ht="21" customHeight="1" s="159">
      <c r="A13" s="20" t="n"/>
      <c r="B13" s="178">
        <f>$E$56</f>
        <v/>
      </c>
      <c r="C13" s="91">
        <f>IF(B13="-","-",TEXT(WEEKDAY(B13),"aaa"))</f>
        <v/>
      </c>
      <c r="D13" s="19" t="n"/>
      <c r="E13" s="179" t="n"/>
      <c r="F13" s="68">
        <f>IF(E13&gt;$M$6,"×","")</f>
        <v/>
      </c>
      <c r="G13" s="21" t="n"/>
      <c r="H13" s="200" t="n"/>
      <c r="I13" s="70">
        <f>IF(H13&gt;$M$6,"×","")</f>
        <v/>
      </c>
      <c r="J13" s="201">
        <f>IF(B27=$E$57,"-",IF(B27="-","-",B27+1))</f>
        <v/>
      </c>
      <c r="K13" s="87">
        <f>IF(J13="-","-",TEXT(WEEKDAY(J13),"aaa"))</f>
        <v/>
      </c>
      <c r="L13" s="19" t="n"/>
      <c r="M13" s="179" t="n"/>
      <c r="N13" s="68">
        <f>IF(M13&gt;$M$6,"×","")</f>
        <v/>
      </c>
      <c r="O13" s="21" t="n"/>
      <c r="P13" s="179" t="n"/>
      <c r="Q13" s="74">
        <f>IF(P13&gt;$M$6,"×","")</f>
        <v/>
      </c>
    </row>
    <row r="14" ht="21" customHeight="1" s="159">
      <c r="A14" s="20" t="n"/>
      <c r="B14" s="178">
        <f>IF(B13=$E$57,"-",IF(B13="-","-",B13+1))</f>
        <v/>
      </c>
      <c r="C14" s="91">
        <f>IF(B14="-","-",TEXT(WEEKDAY(B14),"aaa"))</f>
        <v/>
      </c>
      <c r="D14" s="19" t="n"/>
      <c r="E14" s="179" t="n"/>
      <c r="F14" s="68">
        <f>IF(E14&gt;$M$6,"×","")</f>
        <v/>
      </c>
      <c r="G14" s="21" t="n"/>
      <c r="H14" s="200" t="n"/>
      <c r="I14" s="70">
        <f>IF(H14&gt;$M$6,"×","")</f>
        <v/>
      </c>
      <c r="J14" s="201">
        <f>IF(J13=$E$57,"-",IF(J13="-","-",J13+1))</f>
        <v/>
      </c>
      <c r="K14" s="87">
        <f>IF(J14="-","-",TEXT(WEEKDAY(J14),"aaa"))</f>
        <v/>
      </c>
      <c r="L14" s="19" t="n"/>
      <c r="M14" s="179" t="n"/>
      <c r="N14" s="68">
        <f>IF(M14&gt;$M$6,"×","")</f>
        <v/>
      </c>
      <c r="O14" s="21" t="n"/>
      <c r="P14" s="179" t="n"/>
      <c r="Q14" s="70">
        <f>IF(P14&gt;$M$6,"×","")</f>
        <v/>
      </c>
    </row>
    <row r="15" ht="21" customHeight="1" s="159">
      <c r="A15" s="20" t="n"/>
      <c r="B15" s="178">
        <f>IF(B14=$E$57,"-",IF(B14="-","-",B14+1))</f>
        <v/>
      </c>
      <c r="C15" s="91">
        <f>IF(B15="-","-",TEXT(WEEKDAY(B15),"aaa"))</f>
        <v/>
      </c>
      <c r="D15" s="19" t="n"/>
      <c r="E15" s="179" t="n"/>
      <c r="F15" s="68">
        <f>IF(E15&gt;$M$6,"×","")</f>
        <v/>
      </c>
      <c r="G15" s="21" t="n"/>
      <c r="H15" s="200" t="n"/>
      <c r="I15" s="70">
        <f>IF(H15&gt;$M$6,"×","")</f>
        <v/>
      </c>
      <c r="J15" s="201">
        <f>IF(J14=$E$57,"-",IF(J14="-","-",J14+1))</f>
        <v/>
      </c>
      <c r="K15" s="87">
        <f>IF(J15="-","-",TEXT(WEEKDAY(J15),"aaa"))</f>
        <v/>
      </c>
      <c r="L15" s="19" t="n"/>
      <c r="M15" s="179" t="n"/>
      <c r="N15" s="68">
        <f>IF(M15&gt;$M$6,"×","")</f>
        <v/>
      </c>
      <c r="O15" s="21" t="n"/>
      <c r="P15" s="179" t="n"/>
      <c r="Q15" s="70">
        <f>IF(P15&gt;$M$6,"×","")</f>
        <v/>
      </c>
    </row>
    <row r="16" ht="21" customHeight="1" s="159">
      <c r="A16" s="20" t="n"/>
      <c r="B16" s="178">
        <f>IF(B15=$E$57,"-",IF(B15="-","-",B15+1))</f>
        <v/>
      </c>
      <c r="C16" s="91">
        <f>IF(B16="-","-",TEXT(WEEKDAY(B16),"aaa"))</f>
        <v/>
      </c>
      <c r="D16" s="19" t="n"/>
      <c r="E16" s="179" t="n"/>
      <c r="F16" s="68">
        <f>IF(E16&gt;$M$6,"×","")</f>
        <v/>
      </c>
      <c r="G16" s="21" t="n"/>
      <c r="H16" s="179" t="n"/>
      <c r="I16" s="71">
        <f>IF(H16&gt;$M$6,"×","")</f>
        <v/>
      </c>
      <c r="J16" s="201">
        <f>IF(J15=$E$57,"-",IF(J15="-","-",J15+1))</f>
        <v/>
      </c>
      <c r="K16" s="87">
        <f>IF(J16="-","-",TEXT(WEEKDAY(J16),"aaa"))</f>
        <v/>
      </c>
      <c r="L16" s="19" t="n"/>
      <c r="M16" s="179" t="n"/>
      <c r="N16" s="68">
        <f>IF(M16&gt;$M$6,"×","")</f>
        <v/>
      </c>
      <c r="O16" s="21" t="n"/>
      <c r="P16" s="179" t="n"/>
      <c r="Q16" s="70">
        <f>IF(P16&gt;$M$6,"×","")</f>
        <v/>
      </c>
      <c r="Y16" s="180" t="n"/>
    </row>
    <row r="17" ht="21" customHeight="1" s="159">
      <c r="A17" s="20" t="n"/>
      <c r="B17" s="178">
        <f>IF(B16=$E$57,"-",IF(B16="-","-",B16+1))</f>
        <v/>
      </c>
      <c r="C17" s="91">
        <f>IF(B17="-","-",TEXT(WEEKDAY(B17),"aaa"))</f>
        <v/>
      </c>
      <c r="D17" s="19" t="n"/>
      <c r="E17" s="179" t="n"/>
      <c r="F17" s="68">
        <f>IF(E17&gt;$M$6,"×","")</f>
        <v/>
      </c>
      <c r="G17" s="21" t="n"/>
      <c r="H17" s="179" t="n"/>
      <c r="I17" s="71">
        <f>IF(H17&gt;$M$6,"×","")</f>
        <v/>
      </c>
      <c r="J17" s="201">
        <f>IF(J16=$E$57,"-",IF(J16="-","-",J16+1))</f>
        <v/>
      </c>
      <c r="K17" s="87">
        <f>IF(J17="-","-",TEXT(WEEKDAY(J17),"aaa"))</f>
        <v/>
      </c>
      <c r="L17" s="19" t="n"/>
      <c r="M17" s="179" t="n"/>
      <c r="N17" s="68">
        <f>IF(M17&gt;$M$6,"×","")</f>
        <v/>
      </c>
      <c r="O17" s="21" t="n"/>
      <c r="P17" s="179" t="n"/>
      <c r="Q17" s="70">
        <f>IF(P17&gt;$M$6,"×","")</f>
        <v/>
      </c>
    </row>
    <row r="18" ht="21" customHeight="1" s="159">
      <c r="A18" s="20" t="n"/>
      <c r="B18" s="178">
        <f>IF(B17=$E$57,"-",IF(B17="-","-",B17+1))</f>
        <v/>
      </c>
      <c r="C18" s="91">
        <f>IF(B18="-","-",TEXT(WEEKDAY(B18),"aaa"))</f>
        <v/>
      </c>
      <c r="D18" s="19" t="n"/>
      <c r="E18" s="179" t="n"/>
      <c r="F18" s="68">
        <f>IF(E18&gt;$M$6,"×","")</f>
        <v/>
      </c>
      <c r="G18" s="21" t="n"/>
      <c r="H18" s="179" t="n"/>
      <c r="I18" s="71">
        <f>IF(H18&gt;$M$6,"×","")</f>
        <v/>
      </c>
      <c r="J18" s="201">
        <f>IF(J17=$E$57,"-",IF(J17="-","-",J17+1))</f>
        <v/>
      </c>
      <c r="K18" s="87">
        <f>IF(J18="-","-",TEXT(WEEKDAY(J18),"aaa"))</f>
        <v/>
      </c>
      <c r="L18" s="19" t="n"/>
      <c r="M18" s="179" t="n"/>
      <c r="N18" s="68">
        <f>IF(M18&gt;$M$6,"×","")</f>
        <v/>
      </c>
      <c r="O18" s="21" t="n"/>
      <c r="P18" s="179" t="n"/>
      <c r="Q18" s="70">
        <f>IF(P18&gt;$M$6,"×","")</f>
        <v/>
      </c>
    </row>
    <row r="19" ht="21" customHeight="1" s="159">
      <c r="A19" s="20" t="n"/>
      <c r="B19" s="178">
        <f>IF(B18=$E$57,"-",IF(B18="-","-",B18+1))</f>
        <v/>
      </c>
      <c r="C19" s="91">
        <f>IF(B19="-","-",TEXT(WEEKDAY(B19),"aaa"))</f>
        <v/>
      </c>
      <c r="D19" s="19" t="n"/>
      <c r="E19" s="179" t="n"/>
      <c r="F19" s="68">
        <f>IF(E19&gt;$M$6,"×","")</f>
        <v/>
      </c>
      <c r="G19" s="21" t="n"/>
      <c r="H19" s="179" t="n"/>
      <c r="I19" s="71">
        <f>IF(H19&gt;$M$6,"×","")</f>
        <v/>
      </c>
      <c r="J19" s="201">
        <f>IF(J18=$E$57,"-",IF(J18="-","-",J18+1))</f>
        <v/>
      </c>
      <c r="K19" s="87">
        <f>IF(J19="-","-",TEXT(WEEKDAY(J19),"aaa"))</f>
        <v/>
      </c>
      <c r="L19" s="19" t="n"/>
      <c r="M19" s="179" t="n"/>
      <c r="N19" s="68">
        <f>IF(M19&gt;$M$6,"×","")</f>
        <v/>
      </c>
      <c r="O19" s="21" t="n"/>
      <c r="P19" s="179" t="n"/>
      <c r="Q19" s="70">
        <f>IF(P19&gt;$M$6,"×","")</f>
        <v/>
      </c>
    </row>
    <row r="20" ht="21" customHeight="1" s="159">
      <c r="A20" s="20" t="n"/>
      <c r="B20" s="178">
        <f>IF(B19=$E$57,"-",IF(B19="-","-",B19+1))</f>
        <v/>
      </c>
      <c r="C20" s="91">
        <f>IF(B20="-","-",TEXT(WEEKDAY(B20),"aaa"))</f>
        <v/>
      </c>
      <c r="D20" s="19" t="n"/>
      <c r="E20" s="179" t="n"/>
      <c r="F20" s="68">
        <f>IF(E20&gt;$M$6,"×","")</f>
        <v/>
      </c>
      <c r="G20" s="21" t="n"/>
      <c r="H20" s="179" t="n"/>
      <c r="I20" s="71">
        <f>IF(H20&gt;$M$6,"×","")</f>
        <v/>
      </c>
      <c r="J20" s="201">
        <f>IF(J19=$E$57,"-",IF(J19="-","-",J19+1))</f>
        <v/>
      </c>
      <c r="K20" s="87">
        <f>IF(J20="-","-",TEXT(WEEKDAY(J20),"aaa"))</f>
        <v/>
      </c>
      <c r="L20" s="19" t="n"/>
      <c r="M20" s="179" t="n"/>
      <c r="N20" s="68">
        <f>IF(M20&gt;$M$6,"×","")</f>
        <v/>
      </c>
      <c r="O20" s="21" t="n"/>
      <c r="P20" s="179" t="n"/>
      <c r="Q20" s="70">
        <f>IF(P20&gt;$M$6,"×","")</f>
        <v/>
      </c>
    </row>
    <row r="21" ht="21" customHeight="1" s="159">
      <c r="A21" s="20" t="n"/>
      <c r="B21" s="178">
        <f>IF(B20=$E$57,"-",IF(B20="-","-",B20+1))</f>
        <v/>
      </c>
      <c r="C21" s="91">
        <f>IF(B21="-","-",TEXT(WEEKDAY(B21),"aaa"))</f>
        <v/>
      </c>
      <c r="D21" s="19" t="n"/>
      <c r="E21" s="179" t="n"/>
      <c r="F21" s="68">
        <f>IF(E21&gt;$M$6,"×","")</f>
        <v/>
      </c>
      <c r="G21" s="21" t="n"/>
      <c r="H21" s="179" t="n"/>
      <c r="I21" s="71">
        <f>IF(H21&gt;$M$6,"×","")</f>
        <v/>
      </c>
      <c r="J21" s="201">
        <f>IF(J20=$E$57,"-",IF(J20="-","-",J20+1))</f>
        <v/>
      </c>
      <c r="K21" s="87">
        <f>IF(J21="-","-",TEXT(WEEKDAY(J21),"aaa"))</f>
        <v/>
      </c>
      <c r="L21" s="19" t="n"/>
      <c r="M21" s="179" t="n"/>
      <c r="N21" s="68">
        <f>IF(M21&gt;$M$6,"×","")</f>
        <v/>
      </c>
      <c r="O21" s="21" t="n"/>
      <c r="P21" s="179" t="n"/>
      <c r="Q21" s="70">
        <f>IF(P21&gt;$M$6,"×","")</f>
        <v/>
      </c>
    </row>
    <row r="22" ht="21" customHeight="1" s="159">
      <c r="A22" s="20" t="n"/>
      <c r="B22" s="178">
        <f>IF(B21=$E$57,"-",IF(B21="-","-",B21+1))</f>
        <v/>
      </c>
      <c r="C22" s="91">
        <f>IF(B22="-","-",TEXT(WEEKDAY(B22),"aaa"))</f>
        <v/>
      </c>
      <c r="D22" s="19" t="n"/>
      <c r="E22" s="179" t="n"/>
      <c r="F22" s="68">
        <f>IF(E22&gt;$M$6,"×","")</f>
        <v/>
      </c>
      <c r="G22" s="21" t="n"/>
      <c r="H22" s="179" t="n"/>
      <c r="I22" s="71">
        <f>IF(H22&gt;$M$6,"×","")</f>
        <v/>
      </c>
      <c r="J22" s="201">
        <f>IF(J21=$E$57,"-",IF(J21="-","-",J21+1))</f>
        <v/>
      </c>
      <c r="K22" s="87">
        <f>IF(J22="-","-",TEXT(WEEKDAY(J22),"aaa"))</f>
        <v/>
      </c>
      <c r="L22" s="19" t="n"/>
      <c r="M22" s="179" t="n"/>
      <c r="N22" s="68">
        <f>IF(M22&gt;$M$6,"×","")</f>
        <v/>
      </c>
      <c r="O22" s="21" t="n"/>
      <c r="P22" s="179" t="n"/>
      <c r="Q22" s="70">
        <f>IF(P22&gt;$M$6,"×","")</f>
        <v/>
      </c>
    </row>
    <row r="23" ht="21" customHeight="1" s="159">
      <c r="A23" s="20" t="n"/>
      <c r="B23" s="178">
        <f>IF(B22=$E$57,"-",IF(B22="-","-",B22+1))</f>
        <v/>
      </c>
      <c r="C23" s="91">
        <f>IF(B23="-","-",TEXT(WEEKDAY(B23),"aaa"))</f>
        <v/>
      </c>
      <c r="D23" s="19" t="n"/>
      <c r="E23" s="179" t="n"/>
      <c r="F23" s="68">
        <f>IF(E23&gt;$M$6,"×","")</f>
        <v/>
      </c>
      <c r="G23" s="21" t="n"/>
      <c r="H23" s="179" t="n"/>
      <c r="I23" s="71">
        <f>IF(H23&gt;$M$6,"×","")</f>
        <v/>
      </c>
      <c r="J23" s="201">
        <f>IF(J22=$E$57,"-",IF(J22="-","-",J22+1))</f>
        <v/>
      </c>
      <c r="K23" s="87">
        <f>IF(J23="-","-",TEXT(WEEKDAY(J23),"aaa"))</f>
        <v/>
      </c>
      <c r="L23" s="19" t="n"/>
      <c r="M23" s="179" t="n"/>
      <c r="N23" s="68">
        <f>IF(M23&gt;$M$6,"×","")</f>
        <v/>
      </c>
      <c r="O23" s="21" t="n"/>
      <c r="P23" s="179" t="n"/>
      <c r="Q23" s="70">
        <f>IF(P23&gt;$M$6,"×","")</f>
        <v/>
      </c>
    </row>
    <row r="24" ht="21" customHeight="1" s="159">
      <c r="A24" s="20" t="n"/>
      <c r="B24" s="178">
        <f>IF(B23=$E$57,"-",IF(B23="-","-",B23+1))</f>
        <v/>
      </c>
      <c r="C24" s="91">
        <f>IF(B24="-","-",TEXT(WEEKDAY(B24),"aaa"))</f>
        <v/>
      </c>
      <c r="D24" s="19" t="n"/>
      <c r="E24" s="179" t="n"/>
      <c r="F24" s="68">
        <f>IF(E24&gt;$M$6,"×","")</f>
        <v/>
      </c>
      <c r="G24" s="21" t="n"/>
      <c r="H24" s="179" t="n"/>
      <c r="I24" s="71">
        <f>IF(H24&gt;$M$6,"×","")</f>
        <v/>
      </c>
      <c r="J24" s="201">
        <f>IF(J23=$E$57,"-",IF(J23="-","-",J23+1))</f>
        <v/>
      </c>
      <c r="K24" s="87">
        <f>IF(J24="-","-",TEXT(WEEKDAY(J24),"aaa"))</f>
        <v/>
      </c>
      <c r="L24" s="19" t="n"/>
      <c r="M24" s="179" t="n"/>
      <c r="N24" s="68">
        <f>IF(M24&gt;$M$6,"×","")</f>
        <v/>
      </c>
      <c r="O24" s="21" t="n"/>
      <c r="P24" s="179" t="n"/>
      <c r="Q24" s="70">
        <f>IF(P24&gt;$M$6,"×","")</f>
        <v/>
      </c>
    </row>
    <row r="25" ht="21" customHeight="1" s="159">
      <c r="A25" s="20" t="n"/>
      <c r="B25" s="178">
        <f>IF(B24=$E$57,"-",IF(B24="-","-",B24+1))</f>
        <v/>
      </c>
      <c r="C25" s="91">
        <f>IF(B25="-","-",TEXT(WEEKDAY(B25),"aaa"))</f>
        <v/>
      </c>
      <c r="D25" s="19" t="n"/>
      <c r="E25" s="179" t="n"/>
      <c r="F25" s="68">
        <f>IF(E25&gt;$M$6,"×","")</f>
        <v/>
      </c>
      <c r="G25" s="21" t="n"/>
      <c r="H25" s="179" t="n"/>
      <c r="I25" s="71">
        <f>IF(H25&gt;$M$6,"×","")</f>
        <v/>
      </c>
      <c r="J25" s="201">
        <f>IF(J24=$E$57,"-",IF(J24="-","-",J24+1))</f>
        <v/>
      </c>
      <c r="K25" s="87">
        <f>IF(J25="-","-",TEXT(WEEKDAY(J25),"aaa"))</f>
        <v/>
      </c>
      <c r="L25" s="19" t="n"/>
      <c r="M25" s="179" t="n"/>
      <c r="N25" s="68">
        <f>IF(M25&gt;$M$6,"×","")</f>
        <v/>
      </c>
      <c r="O25" s="21" t="n"/>
      <c r="P25" s="179" t="n"/>
      <c r="Q25" s="70">
        <f>IF(P25&gt;$M$6,"×","")</f>
        <v/>
      </c>
    </row>
    <row r="26" ht="21" customHeight="1" s="159">
      <c r="A26" s="20" t="n"/>
      <c r="B26" s="178">
        <f>IF(B25=$E$57,"-",IF(B25="-","-",B25+1))</f>
        <v/>
      </c>
      <c r="C26" s="91">
        <f>IF(B26="-","-",TEXT(WEEKDAY(B26),"aaa"))</f>
        <v/>
      </c>
      <c r="D26" s="19" t="n"/>
      <c r="E26" s="179" t="n"/>
      <c r="F26" s="68">
        <f>IF(E26&gt;$M$6,"×","")</f>
        <v/>
      </c>
      <c r="G26" s="21" t="n"/>
      <c r="H26" s="179" t="n"/>
      <c r="I26" s="71">
        <f>IF(H26&gt;$M$6,"×","")</f>
        <v/>
      </c>
      <c r="J26" s="201">
        <f>IF(J25=$E$57,"-",IF(J25="-","-",J25+1))</f>
        <v/>
      </c>
      <c r="K26" s="87">
        <f>IF(J26="-","-",TEXT(WEEKDAY(J26),"aaa"))</f>
        <v/>
      </c>
      <c r="L26" s="19" t="n"/>
      <c r="M26" s="179" t="n"/>
      <c r="N26" s="68">
        <f>IF(M26&gt;$M$6,"×","")</f>
        <v/>
      </c>
      <c r="O26" s="21" t="n"/>
      <c r="P26" s="179" t="n"/>
      <c r="Q26" s="70">
        <f>IF(P26&gt;$M$6,"×","")</f>
        <v/>
      </c>
    </row>
    <row r="27" ht="21" customHeight="1" s="159" thickBot="1">
      <c r="A27" s="20" t="n"/>
      <c r="B27" s="181">
        <f>IF(B26=$E$57,"-",IF(B26="-","-",B26+1))</f>
        <v/>
      </c>
      <c r="C27" s="93">
        <f>IF(B27="-","-",TEXT(WEEKDAY(B27),"aaa"))</f>
        <v/>
      </c>
      <c r="D27" s="22" t="n"/>
      <c r="E27" s="183" t="n"/>
      <c r="F27" s="69">
        <f>IF(E27&gt;$M$6,"×","")</f>
        <v/>
      </c>
      <c r="G27" s="22" t="n"/>
      <c r="H27" s="183" t="n"/>
      <c r="I27" s="72">
        <f>IF(H27&gt;$M$6,"×","")</f>
        <v/>
      </c>
      <c r="J27" s="201">
        <f>IF(J26=$E$57,"-",IF(J26="-","-",J26+1))</f>
        <v/>
      </c>
      <c r="K27" s="87">
        <f>IF(J27="-","-",TEXT(WEEKDAY(J27),"aaa"))</f>
        <v/>
      </c>
      <c r="L27" s="19" t="n"/>
      <c r="M27" s="179" t="n"/>
      <c r="N27" s="68">
        <f>IF(M27&gt;$M$6,"×","")</f>
        <v/>
      </c>
      <c r="O27" s="21" t="n"/>
      <c r="P27" s="179" t="n"/>
      <c r="Q27" s="70">
        <f>IF(P27&gt;$M$6,"×","")</f>
        <v/>
      </c>
    </row>
    <row r="28" ht="21" customHeight="1" s="159" thickBot="1">
      <c r="A28" s="61" t="n"/>
      <c r="B28" s="23" t="n"/>
      <c r="C28" s="61" t="n"/>
      <c r="D28" s="23" t="n"/>
      <c r="E28" s="23" t="n"/>
      <c r="F28" s="23" t="n"/>
      <c r="G28" s="23" t="n"/>
      <c r="H28" s="23" t="n"/>
      <c r="I28" s="20" t="n"/>
      <c r="J28" s="182">
        <f>IF(J27=$E$57,"-",IF(J27="-","-",J27+1))</f>
        <v/>
      </c>
      <c r="K28" s="89">
        <f>IF(J28="-","-",TEXT(WEEKDAY(J28),"aaa"))</f>
        <v/>
      </c>
      <c r="L28" s="54" t="n"/>
      <c r="M28" s="60" t="n"/>
      <c r="N28" s="73">
        <f>IF(M28&gt;$M$6,"×","")</f>
        <v/>
      </c>
      <c r="O28" s="53" t="n"/>
      <c r="P28" s="183" t="n"/>
      <c r="Q28" s="74">
        <f>IF(P28&gt;$M$6,"×","")</f>
        <v/>
      </c>
    </row>
    <row r="29" ht="21" customHeight="1" s="159" thickBot="1">
      <c r="A29" s="61" t="n"/>
      <c r="B29" s="23" t="n"/>
      <c r="C29" s="61" t="n"/>
      <c r="D29" s="23" t="n"/>
      <c r="E29" s="23" t="n"/>
      <c r="F29" s="23" t="n"/>
      <c r="G29" s="23" t="n"/>
      <c r="H29" s="23" t="n"/>
      <c r="I29" s="81" t="n"/>
      <c r="J29" s="120" t="inlineStr">
        <is>
          <t>計</t>
        </is>
      </c>
      <c r="K29" s="184" t="n"/>
      <c r="L29" s="77">
        <f>COUNTA(D13:D27,L13:L28)</f>
        <v/>
      </c>
      <c r="M29" s="185">
        <f>SUM(E13:E27,M13:M28)</f>
        <v/>
      </c>
      <c r="N29" s="75" t="n"/>
      <c r="O29" s="79">
        <f>COUNTA(G13:G27,O13:O28)</f>
        <v/>
      </c>
      <c r="P29" s="185">
        <f>SUM(H13:H27,P13:P28)</f>
        <v/>
      </c>
      <c r="Q29" s="76" t="n"/>
    </row>
    <row r="30" ht="21" customHeight="1" s="159">
      <c r="A30" s="61" t="n"/>
      <c r="B30" s="23" t="n"/>
      <c r="C30" s="61" t="n"/>
      <c r="D30" s="23" t="n"/>
      <c r="E30" s="23" t="n"/>
      <c r="F30" s="23" t="n"/>
      <c r="G30" s="23" t="n"/>
      <c r="H30" s="23" t="n"/>
      <c r="I30" s="81" t="n"/>
      <c r="J30" s="23" t="n"/>
      <c r="K30" s="23" t="n"/>
      <c r="Q30" s="81" t="n"/>
    </row>
    <row r="31" ht="21" customHeight="1" s="159"/>
    <row r="32" ht="18" customHeight="1" s="159">
      <c r="A32" s="61" t="n"/>
      <c r="B32" s="122" t="inlineStr">
        <is>
          <t>利用確認回数</t>
        </is>
      </c>
      <c r="C32" s="164" t="n"/>
      <c r="D32" s="61" t="n"/>
      <c r="E32" s="123" t="inlineStr">
        <is>
          <t>利用金額合計</t>
        </is>
      </c>
      <c r="F32" s="163" t="n"/>
      <c r="G32" s="163" t="n"/>
      <c r="H32" s="164" t="n"/>
      <c r="I32" s="61" t="n"/>
      <c r="J32" s="186" t="inlineStr">
        <is>
          <t>実際に支給される特別料金等の額</t>
        </is>
      </c>
      <c r="K32" s="163" t="n"/>
      <c r="L32" s="163" t="n"/>
      <c r="M32" s="164" t="n"/>
      <c r="N32" s="61" t="n"/>
      <c r="O32" s="123" t="inlineStr">
        <is>
          <t>翌々月に調整される額</t>
        </is>
      </c>
      <c r="P32" s="163" t="n"/>
      <c r="Q32" s="163" t="n"/>
      <c r="R32" s="164" t="n"/>
      <c r="W32" s="25" t="n"/>
      <c r="Y32" s="187" t="n"/>
      <c r="Z32" s="187" t="n"/>
    </row>
    <row r="33" ht="18" customHeight="1" s="159">
      <c r="A33" s="61" t="n"/>
      <c r="B33" s="108">
        <f>L29+O29</f>
        <v/>
      </c>
      <c r="C33" s="164" t="n"/>
      <c r="D33" s="61" t="n"/>
      <c r="E33" s="188">
        <f>M29+P29</f>
        <v/>
      </c>
      <c r="F33" s="163" t="n"/>
      <c r="G33" s="163" t="n"/>
      <c r="H33" s="189" t="inlineStr">
        <is>
          <t>円</t>
        </is>
      </c>
      <c r="I33" s="61" t="n"/>
      <c r="J33" s="188">
        <f>IF(B33=0,0,E33)</f>
        <v/>
      </c>
      <c r="K33" s="163" t="n"/>
      <c r="L33" s="163" t="n"/>
      <c r="M33" s="189" t="inlineStr">
        <is>
          <t>円</t>
        </is>
      </c>
      <c r="N33" s="61" t="n"/>
      <c r="O33" s="188">
        <f>E33-M7</f>
        <v/>
      </c>
      <c r="P33" s="163" t="n"/>
      <c r="Q33" s="163" t="n"/>
      <c r="R33" s="189" t="inlineStr">
        <is>
          <t>円</t>
        </is>
      </c>
      <c r="W33" s="190" t="n"/>
    </row>
    <row r="34" ht="18" customHeight="1" s="159">
      <c r="A34" s="61" t="n"/>
      <c r="B34" s="61" t="n"/>
      <c r="C34" s="61" t="n"/>
      <c r="D34" s="61" t="n"/>
      <c r="E34" s="191">
        <f>IF(E33&gt;M7,"要確認！
加算額を超えています！","加算額以下ＯＫ")</f>
        <v/>
      </c>
      <c r="F34" s="192" t="n"/>
      <c r="G34" s="192" t="n"/>
      <c r="H34" s="193" t="n"/>
      <c r="I34" s="61" t="n"/>
      <c r="J34" s="61" t="n"/>
      <c r="K34" s="61" t="n"/>
      <c r="L34" s="61" t="n"/>
      <c r="M34" s="61" t="n"/>
      <c r="N34" s="61" t="n"/>
      <c r="O34" s="194">
        <f>IF(O33&gt;0,"増額調整",IF(O33=0,"調整不要",IF(O33&lt;0,"減額調整")))</f>
        <v/>
      </c>
      <c r="P34" s="163" t="n"/>
      <c r="Q34" s="163" t="n"/>
      <c r="R34" s="164" t="n"/>
    </row>
    <row r="35" ht="18" customHeight="1" s="159">
      <c r="A35" s="61" t="n"/>
      <c r="B35" s="61" t="n"/>
      <c r="C35" s="61" t="n"/>
      <c r="D35" s="61" t="n"/>
      <c r="E35" s="177" t="n"/>
      <c r="F35" s="160" t="n"/>
      <c r="G35" s="160" t="n"/>
      <c r="H35" s="195" t="n"/>
      <c r="I35" s="61" t="n"/>
      <c r="J35" s="61" t="n"/>
      <c r="K35" s="61" t="n"/>
      <c r="L35" s="61" t="n"/>
      <c r="M35" s="61" t="n"/>
      <c r="N35" s="61" t="n"/>
      <c r="O35" s="61" t="n"/>
      <c r="P35" s="61" t="n"/>
      <c r="Q35" s="61" t="n"/>
      <c r="R35" s="61" t="n"/>
    </row>
    <row r="36" ht="18" customHeight="1" s="159">
      <c r="A36" s="61" t="n"/>
      <c r="B36" s="61" t="n"/>
      <c r="C36" s="61" t="n"/>
      <c r="D36" s="61" t="n"/>
      <c r="E36" s="83" t="n"/>
      <c r="F36" s="83" t="n"/>
      <c r="G36" s="83" t="n"/>
      <c r="H36" s="83" t="n"/>
      <c r="I36" s="61" t="n"/>
      <c r="J36" s="61" t="n"/>
      <c r="K36" s="61" t="n"/>
      <c r="L36" s="61" t="n"/>
      <c r="M36" s="61" t="n"/>
      <c r="N36" s="61" t="n"/>
      <c r="O36" s="61" t="n"/>
      <c r="P36" s="61" t="n"/>
      <c r="Q36" s="61" t="n"/>
      <c r="R36" s="61" t="n"/>
    </row>
    <row r="37" ht="18" customHeight="1" s="159">
      <c r="A37" s="61" t="n"/>
      <c r="B37" s="61" t="n"/>
      <c r="C37" s="61" t="n"/>
      <c r="D37" s="61" t="n"/>
      <c r="E37" s="83" t="n"/>
      <c r="F37" s="83" t="n"/>
      <c r="G37" s="83" t="n"/>
      <c r="H37" s="83" t="n"/>
      <c r="I37" s="61" t="n"/>
      <c r="J37" s="61" t="n"/>
      <c r="K37" s="61" t="n"/>
      <c r="L37" s="61" t="n"/>
      <c r="M37" s="61" t="n"/>
      <c r="N37" s="61" t="n"/>
      <c r="O37" s="61" t="n"/>
      <c r="P37" s="61" t="n"/>
      <c r="Q37" s="61" t="n"/>
      <c r="R37" s="61" t="n"/>
    </row>
    <row r="38" ht="18" customHeight="1" s="159">
      <c r="A38" s="46" t="inlineStr">
        <is>
          <t>（記載要領）</t>
        </is>
      </c>
      <c r="B38" s="61" t="n"/>
      <c r="C38" s="61" t="n"/>
      <c r="D38" s="61" t="n"/>
      <c r="E38" s="61" t="n"/>
      <c r="F38" s="61" t="n"/>
      <c r="G38" s="61" t="n"/>
      <c r="H38" s="61" t="n"/>
      <c r="I38" s="52" t="n"/>
      <c r="J38" s="187" t="n"/>
      <c r="K38" s="61" t="n"/>
      <c r="L38" s="61" t="n"/>
      <c r="M38" s="61" t="n"/>
      <c r="N38" s="61" t="n"/>
      <c r="O38" s="61" t="n"/>
      <c r="P38" s="61" t="n"/>
      <c r="Q38" s="61" t="n"/>
      <c r="R38" s="61" t="n"/>
      <c r="S38" s="61" t="n"/>
      <c r="T38" s="61" t="n"/>
      <c r="U38" s="61" t="n"/>
    </row>
    <row r="39" ht="18" customHeight="1" s="159">
      <c r="A39" s="46" t="inlineStr">
        <is>
          <t>・往路、復路それぞれについて記入すること。</t>
        </is>
      </c>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row>
    <row r="40" ht="18" customHeight="1" s="159">
      <c r="A40" s="46" t="inlineStr">
        <is>
          <t>・「利用確認」欄には、領収書等により利用が確認できる場合に「○」を記入。</t>
        </is>
      </c>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row>
    <row r="41" ht="18" customHeight="1" s="159">
      <c r="A41" s="46" t="inlineStr">
        <is>
          <t xml:space="preserve">　自宅発着の旅行や1日年休を取得している場合は通勤での利用ではないため利用に含めないこと。</t>
        </is>
      </c>
      <c r="B41" s="61" t="n"/>
      <c r="C41" s="61" t="n"/>
      <c r="D41" s="61" t="n"/>
      <c r="E41" s="61" t="n"/>
      <c r="F41" s="61" t="n"/>
      <c r="G41" s="61" t="n"/>
      <c r="H41" s="61" t="n"/>
      <c r="I41" s="61" t="n"/>
      <c r="J41" s="61" t="n"/>
      <c r="K41" s="61" t="n"/>
      <c r="L41" s="61" t="n"/>
      <c r="M41" s="61" t="n"/>
      <c r="N41" s="61" t="n"/>
      <c r="O41" s="61" t="n"/>
      <c r="P41" s="61" t="n"/>
      <c r="Q41" s="61" t="n"/>
      <c r="R41" s="103" t="n"/>
      <c r="S41" s="61" t="n"/>
      <c r="T41" s="61" t="n"/>
      <c r="U41" s="61" t="n"/>
    </row>
    <row r="42" ht="17.25" customHeight="1" s="159">
      <c r="A42" s="46" t="inlineStr">
        <is>
          <t>・「利用金額」欄には、実際に負担した金額（割引や還元額を適用した額）を記入。</t>
        </is>
      </c>
      <c r="B42" s="61" t="n"/>
      <c r="C42" s="61" t="n"/>
      <c r="D42" s="61" t="n"/>
      <c r="E42" s="61" t="n"/>
      <c r="F42" s="61" t="n"/>
      <c r="G42" s="61" t="n"/>
      <c r="H42" s="61" t="n"/>
      <c r="I42" s="61" t="n"/>
      <c r="J42" s="61" t="n"/>
      <c r="K42" s="61" t="n"/>
      <c r="L42" s="61" t="n"/>
      <c r="M42" s="61" t="n"/>
      <c r="N42" s="61" t="n"/>
      <c r="O42" s="61" t="n"/>
      <c r="P42" s="61" t="n"/>
      <c r="Q42" s="61" t="n"/>
      <c r="R42" s="103" t="n"/>
      <c r="S42" s="61" t="n"/>
      <c r="T42" s="61" t="n"/>
      <c r="U42" s="61" t="n"/>
    </row>
    <row r="43" ht="16.5" customHeight="1" s="159">
      <c r="A43" s="46"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row>
    <row r="44" ht="16.5" customHeight="1" s="159">
      <c r="A44" s="50" t="inlineStr">
        <is>
          <t>【備考】</t>
        </is>
      </c>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row>
    <row r="45" ht="16.5" customHeight="1" s="159">
      <c r="A45" s="103" t="inlineStr">
        <is>
          <t>・本様式は、あくまで「参考様式」です。
　適切な利用確認がなされている限り、各所属において任意の様式を使用していただいて構いません。</t>
        </is>
      </c>
      <c r="R45" s="61" t="n"/>
      <c r="S45" s="61" t="n"/>
      <c r="T45" s="61" t="n"/>
      <c r="U45" s="61" t="n"/>
    </row>
    <row r="46" ht="16.5" customHeight="1" s="159">
      <c r="R46" s="61" t="n"/>
      <c r="S46" s="61" t="n"/>
      <c r="T46" s="61" t="n"/>
      <c r="U46" s="61" t="n"/>
    </row>
    <row r="47" ht="16.5" customHeight="1" s="159"/>
    <row r="48" ht="16.5" customHeight="1" s="159">
      <c r="B48" s="49" t="inlineStr">
        <is>
          <t>年</t>
        </is>
      </c>
      <c r="C48" s="28" t="inlineStr">
        <is>
          <t>月</t>
        </is>
      </c>
      <c r="D48" s="29" t="inlineStr">
        <is>
          <t>利用確認欄</t>
        </is>
      </c>
      <c r="E48" s="30" t="n"/>
      <c r="F48" s="31" t="n"/>
      <c r="G48" s="56" t="n"/>
      <c r="H48" s="61" t="n"/>
      <c r="I48" s="40" t="n"/>
    </row>
    <row r="49" ht="16.5" customHeight="1" s="159">
      <c r="B49" s="33" t="n">
        <v>5</v>
      </c>
      <c r="C49" s="48" t="n">
        <v>1</v>
      </c>
      <c r="D49" s="34" t="inlineStr">
        <is>
          <t>〇</t>
        </is>
      </c>
      <c r="E49" s="35" t="n"/>
      <c r="F49" s="36" t="n"/>
      <c r="G49" s="57" t="n"/>
      <c r="H49" s="61" t="n"/>
      <c r="I49" s="41" t="n"/>
    </row>
    <row r="50" ht="16.5" customHeight="1" s="159">
      <c r="B50" s="33" t="n">
        <v>6</v>
      </c>
      <c r="C50" s="48" t="n">
        <v>2</v>
      </c>
      <c r="D50" s="34" t="inlineStr">
        <is>
          <t>週休日</t>
        </is>
      </c>
      <c r="E50" s="35" t="n"/>
      <c r="F50" s="36" t="n"/>
      <c r="G50" s="56" t="n"/>
      <c r="H50" s="61" t="n"/>
      <c r="I50" s="41" t="n"/>
      <c r="J50" s="38" t="n"/>
      <c r="K50" s="38" t="n"/>
      <c r="L50" s="41" t="n"/>
    </row>
    <row r="51" ht="16.5" customHeight="1" s="159">
      <c r="B51" s="33" t="n">
        <v>7</v>
      </c>
      <c r="C51" s="48" t="n">
        <v>3</v>
      </c>
      <c r="D51" s="34" t="inlineStr">
        <is>
          <t>旅行</t>
        </is>
      </c>
      <c r="E51" s="35" t="n"/>
      <c r="F51" s="36" t="n"/>
      <c r="G51" s="57" t="n"/>
      <c r="H51" s="61" t="n"/>
      <c r="I51" s="40" t="n"/>
      <c r="J51" s="38" t="n"/>
      <c r="K51" s="38" t="n"/>
      <c r="L51" s="41" t="n"/>
    </row>
    <row r="52" ht="16.5" customHeight="1" s="159">
      <c r="B52" s="33" t="n">
        <v>8</v>
      </c>
      <c r="C52" s="48" t="n">
        <v>4</v>
      </c>
      <c r="D52" s="34" t="inlineStr">
        <is>
          <t>通行止</t>
        </is>
      </c>
      <c r="E52" s="35" t="n"/>
      <c r="F52" s="36" t="n"/>
      <c r="G52" s="57" t="n"/>
      <c r="H52" s="61" t="n"/>
      <c r="I52" s="41" t="n"/>
      <c r="J52" s="38" t="n"/>
      <c r="K52" s="38" t="n"/>
      <c r="L52" s="41" t="n"/>
    </row>
    <row r="53" ht="16.5" customHeight="1" s="159">
      <c r="B53" s="45" t="n"/>
      <c r="C53" s="28" t="n">
        <v>5</v>
      </c>
      <c r="D53" s="34" t="inlineStr">
        <is>
          <t>年休</t>
        </is>
      </c>
      <c r="E53" s="35" t="n"/>
      <c r="F53" s="36" t="n"/>
      <c r="G53" s="57" t="n"/>
      <c r="H53" s="61" t="n"/>
      <c r="I53" s="41" t="n"/>
      <c r="J53" s="38" t="n"/>
      <c r="K53" s="38" t="n"/>
      <c r="L53" s="41" t="n"/>
    </row>
    <row r="54" ht="16.5" customHeight="1" s="159">
      <c r="B54" s="45" t="n"/>
      <c r="C54" s="28" t="n">
        <v>6</v>
      </c>
      <c r="D54" s="34" t="inlineStr">
        <is>
          <t>特休</t>
        </is>
      </c>
      <c r="E54" s="35" t="n"/>
      <c r="F54" s="36" t="n"/>
      <c r="G54" s="57" t="n"/>
      <c r="H54" s="61" t="n"/>
      <c r="I54" s="41" t="n"/>
      <c r="J54" s="38" t="n"/>
      <c r="K54" s="38" t="n"/>
      <c r="L54" s="41" t="n"/>
    </row>
    <row r="55" ht="16.5" customHeight="1" s="159">
      <c r="B55" s="45" t="n"/>
      <c r="C55" s="28" t="n">
        <v>7</v>
      </c>
      <c r="D55" s="34" t="inlineStr">
        <is>
          <t>その他</t>
        </is>
      </c>
      <c r="E55" s="35" t="n"/>
      <c r="F55" s="36" t="n"/>
      <c r="G55" s="57" t="n"/>
      <c r="H55" s="61" t="n"/>
      <c r="I55" s="41" t="n"/>
      <c r="J55" s="38" t="n"/>
      <c r="K55" s="38" t="n"/>
      <c r="L55" s="41" t="n"/>
    </row>
    <row r="56" ht="16.5" customHeight="1" s="159">
      <c r="B56" s="45" t="n"/>
      <c r="C56" s="28" t="n">
        <v>8</v>
      </c>
      <c r="D56" s="28" t="inlineStr">
        <is>
          <t>初日</t>
        </is>
      </c>
      <c r="E56" s="196">
        <f>DATE($B$5+2018,$D$5,1)</f>
        <v/>
      </c>
      <c r="F56" s="164" t="n"/>
      <c r="G56" s="57" t="n"/>
      <c r="H56" s="61" t="n"/>
      <c r="I56" s="41" t="n"/>
      <c r="J56" s="38" t="n"/>
      <c r="K56" s="38" t="n"/>
      <c r="L56" s="41" t="n"/>
    </row>
    <row r="57" ht="16.5" customHeight="1" s="159">
      <c r="B57" s="42" t="n"/>
      <c r="C57" s="28" t="n">
        <v>9</v>
      </c>
      <c r="D57" s="28" t="inlineStr">
        <is>
          <t>末日</t>
        </is>
      </c>
      <c r="E57" s="197">
        <f>DATE(YEAR($E$56),MONTH($E$56)+1,1)-1</f>
        <v/>
      </c>
      <c r="F57" s="164" t="n"/>
      <c r="G57" s="198" t="n"/>
      <c r="H57" s="61" t="n"/>
      <c r="I57" s="41" t="n"/>
      <c r="J57" s="38" t="n"/>
      <c r="K57" s="38" t="n"/>
      <c r="L57" s="41" t="n"/>
    </row>
    <row r="58" ht="16.5" customHeight="1" s="159">
      <c r="B58" s="42" t="n"/>
      <c r="C58" s="28" t="n">
        <v>10</v>
      </c>
      <c r="D58" s="43" t="n"/>
      <c r="E58" s="43" t="n"/>
      <c r="F58" s="43" t="n"/>
      <c r="G58" s="199" t="n"/>
      <c r="H58" s="38" t="n"/>
      <c r="I58" s="38" t="n"/>
      <c r="J58" s="41" t="n"/>
    </row>
    <row r="59" ht="16.5" customHeight="1" s="159">
      <c r="B59" s="42" t="n"/>
      <c r="C59" s="28" t="n">
        <v>11</v>
      </c>
      <c r="D59" s="43" t="n"/>
      <c r="E59" s="43" t="n"/>
      <c r="F59" s="43" t="n"/>
      <c r="G59" s="43" t="n"/>
      <c r="H59" s="38" t="n"/>
      <c r="I59" s="38" t="n"/>
      <c r="J59" s="41" t="n"/>
    </row>
    <row r="60" ht="16.5" customHeight="1" s="159">
      <c r="B60" s="42" t="n"/>
      <c r="C60" s="28" t="n">
        <v>12</v>
      </c>
      <c r="D60" s="38" t="n"/>
      <c r="E60" s="38" t="n"/>
      <c r="F60" s="38" t="n"/>
      <c r="G60" s="43" t="n"/>
      <c r="H60" s="38" t="n"/>
      <c r="I60" s="38" t="n"/>
      <c r="J60" s="41" t="n"/>
    </row>
    <row r="61" ht="16.5" customHeight="1" s="159">
      <c r="B61" s="44" t="n"/>
      <c r="C61" s="28" t="n"/>
      <c r="D61" s="38" t="n"/>
      <c r="E61" s="38" t="n"/>
      <c r="F61" s="38" t="n"/>
      <c r="G61" s="38" t="n"/>
      <c r="H61" s="38" t="n"/>
      <c r="I61" s="38" t="n"/>
      <c r="J61" s="41" t="n"/>
    </row>
    <row r="62" ht="16.5" customHeight="1" s="159">
      <c r="D62" s="38" t="n"/>
      <c r="E62" s="38" t="n"/>
      <c r="F62" s="38" t="n"/>
      <c r="G62" s="38" t="n"/>
      <c r="H62" s="38" t="n"/>
      <c r="I62" s="38" t="n"/>
      <c r="J62" s="41" t="n"/>
    </row>
    <row r="63" ht="16.5" customHeight="1" s="159">
      <c r="D63" s="38" t="n"/>
      <c r="E63" s="38" t="n"/>
      <c r="F63" s="38" t="n"/>
      <c r="G63" s="38" t="n"/>
      <c r="H63" s="38" t="n"/>
      <c r="I63" s="38" t="n"/>
      <c r="J63" s="41" t="n"/>
    </row>
    <row r="64" ht="16.5" customHeight="1" s="159">
      <c r="D64" s="38" t="n"/>
      <c r="E64" s="38" t="n"/>
      <c r="F64" s="38" t="n"/>
      <c r="G64" s="38" t="n"/>
      <c r="H64" s="38" t="n"/>
      <c r="I64" s="38" t="n"/>
      <c r="J64" s="41" t="n"/>
    </row>
    <row r="65" ht="16.5" customHeight="1" s="159">
      <c r="D65" s="38" t="n"/>
      <c r="E65" s="38" t="n"/>
      <c r="F65" s="38" t="n"/>
      <c r="G65" s="38" t="n"/>
      <c r="H65" s="38" t="n"/>
      <c r="I65" s="38" t="n"/>
      <c r="J65" s="41" t="n"/>
    </row>
    <row r="66" ht="16.5" customHeight="1" s="159">
      <c r="D66" s="38" t="n"/>
      <c r="E66" s="38" t="n"/>
      <c r="F66" s="38" t="n"/>
      <c r="G66" s="38" t="n"/>
      <c r="H66" s="38" t="n"/>
      <c r="I66" s="38" t="n"/>
      <c r="J66" s="41" t="n"/>
    </row>
    <row r="67" ht="16.5" customHeight="1" s="159">
      <c r="D67" s="38" t="n"/>
      <c r="E67" s="38" t="n"/>
      <c r="F67" s="38" t="n"/>
      <c r="G67" s="38" t="n"/>
      <c r="H67" s="38" t="n"/>
      <c r="I67" s="38" t="n"/>
      <c r="J67" s="41" t="n"/>
    </row>
    <row r="68" ht="16.5" customHeight="1" s="159">
      <c r="D68" s="38" t="n"/>
      <c r="E68" s="38" t="n"/>
      <c r="F68" s="38" t="n"/>
      <c r="G68" s="38" t="n"/>
      <c r="H68" s="38" t="n"/>
      <c r="I68" s="38" t="n"/>
      <c r="J68" s="41" t="n"/>
    </row>
    <row r="69" ht="16.5" customHeight="1" s="159">
      <c r="G69" s="38" t="n"/>
      <c r="H69" s="38" t="n"/>
      <c r="I69" s="38" t="n"/>
      <c r="J69" s="41" t="n"/>
    </row>
    <row r="70" ht="16.5" customHeight="1" s="159">
      <c r="H70" s="38" t="n"/>
      <c r="I70" s="38" t="n"/>
      <c r="J70" s="41" t="n"/>
    </row>
    <row r="71" ht="16.5" customHeight="1" s="159"/>
  </sheetData>
  <mergeCells count="34">
    <mergeCell ref="J6:L6"/>
    <mergeCell ref="D11:F11"/>
    <mergeCell ref="J29:K29"/>
    <mergeCell ref="B11:B12"/>
    <mergeCell ref="M5:N5"/>
    <mergeCell ref="E32:H32"/>
    <mergeCell ref="E34:H35"/>
    <mergeCell ref="J11:J12"/>
    <mergeCell ref="J7:L7"/>
    <mergeCell ref="K11:K12"/>
    <mergeCell ref="O34:R34"/>
    <mergeCell ref="C11:C12"/>
    <mergeCell ref="A3:B3"/>
    <mergeCell ref="O11:Q11"/>
    <mergeCell ref="L11:N11"/>
    <mergeCell ref="J33:L33"/>
    <mergeCell ref="A1:S1"/>
    <mergeCell ref="N3:Q3"/>
    <mergeCell ref="C3:H3"/>
    <mergeCell ref="O32:R32"/>
    <mergeCell ref="G11:I11"/>
    <mergeCell ref="E57:F57"/>
    <mergeCell ref="J5:L5"/>
    <mergeCell ref="O33:Q33"/>
    <mergeCell ref="E33:G33"/>
    <mergeCell ref="B33:C33"/>
    <mergeCell ref="M7:P7"/>
    <mergeCell ref="A45:Q46"/>
    <mergeCell ref="M6:P6"/>
    <mergeCell ref="B32:C32"/>
    <mergeCell ref="P5:Q5"/>
    <mergeCell ref="J32:M32"/>
    <mergeCell ref="E56:F56"/>
    <mergeCell ref="K3:L3"/>
  </mergeCells>
  <conditionalFormatting sqref="F13:F27 I13:I27 N13:N28 Q13:Q28">
    <cfRule type="containsText" priority="3" operator="containsText" dxfId="2" stopIfTrue="1" text="×">
      <formula>NOT(ISERROR(SEARCH("×",F13)))</formula>
    </cfRule>
  </conditionalFormatting>
  <conditionalFormatting sqref="J33:L33">
    <cfRule type="cellIs" priority="2" operator="greaterThan" dxfId="1" stopIfTrue="1">
      <formula>$M$7</formula>
    </cfRule>
  </conditionalFormatting>
  <conditionalFormatting sqref="D13:D27 G13:G27 L13:L28 O13:O28">
    <cfRule type="cellIs" priority="1" operator="notEqual" dxfId="0">
      <formula>"〇"</formula>
    </cfRule>
  </conditionalFormatting>
  <dataValidations count="3">
    <dataValidation sqref="B5:B6" showDropDown="0" showInputMessage="1" showErrorMessage="1" allowBlank="1" type="list">
      <formula1>$B$49:$B$55</formula1>
    </dataValidation>
    <dataValidation sqref="D5:D6" showDropDown="0" showInputMessage="1" showErrorMessage="1" allowBlank="1" type="list">
      <formula1>$C$49:$C$61</formula1>
    </dataValidation>
    <dataValidation sqref="D13:D27 G13:G27 L13:L28 O13:O28" showDropDown="0" showInputMessage="1" showErrorMessage="1" allowBlank="1" type="list">
      <formula1>$D$49:$D$55</formula1>
    </dataValidation>
  </dataValidations>
  <pageMargins left="0.7086614173228347" right="0.7086614173228347" top="0.7480314960629921" bottom="0.7480314960629921" header="0.3149606299212598" footer="0.3149606299212598"/>
  <pageSetup orientation="portrait" paperSize="9" scale="74" fitToHeight="0" cellComments="asDisplayed"/>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2008-06-30T23:07:51Z</dcterms:created>
  <dcterms:modified xsi:type="dcterms:W3CDTF">2025-06-17T00:05:32Z</dcterms:modified>
  <cp:lastModifiedBy>hith_伊藤大貴</cp:lastModifiedBy>
  <cp:lastPrinted>2024-03-08T05:06:04Z</cp:lastPrinted>
</cp:coreProperties>
</file>