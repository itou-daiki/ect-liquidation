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23250" windowHeight="12450" tabRatio="600" firstSheet="0" activeTab="0" autoFilterDateGrouping="1"/>
  </bookViews>
  <sheets>
    <sheet name="利用実績簿" sheetId="1" state="visible" r:id="rId1"/>
    <sheet name="利用実績簿（コメント入り）" sheetId="2" state="visible" r:id="rId2"/>
  </sheets>
  <definedNames>
    <definedName name="_xlnm.Print_Area" localSheetId="0">'利用実績簿'!$A$1:$R$46</definedName>
    <definedName name="_xlnm.Print_Area" localSheetId="1">'利用実績簿（コメント入り）'!$A$1:$R$46</definedName>
  </definedNames>
  <calcPr calcId="191029" fullCalcOnLoad="1"/>
</workbook>
</file>

<file path=xl/styles.xml><?xml version="1.0" encoding="utf-8"?>
<styleSheet xmlns="http://schemas.openxmlformats.org/spreadsheetml/2006/main">
  <numFmts count="5">
    <numFmt numFmtId="164" formatCode="[$-411]ge\.m\.d;@"/>
    <numFmt numFmtId="165" formatCode="#,##0_ ;[Red]\-#,##0\ "/>
    <numFmt numFmtId="166" formatCode="#,##0.00_ "/>
    <numFmt numFmtId="167" formatCode="#,##0_);[Red]\(#,##0\)"/>
    <numFmt numFmtId="168" formatCode="d"/>
  </numFmts>
  <fonts count="38">
    <font>
      <name val="ＭＳ Ｐゴシック"/>
      <charset val="128"/>
      <family val="3"/>
      <sz val="11"/>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6"/>
    </font>
    <font>
      <name val="ＭＳ 明朝"/>
      <charset val="128"/>
      <family val="1"/>
      <sz val="9"/>
    </font>
    <font>
      <name val="ＭＳ 明朝"/>
      <charset val="128"/>
      <family val="1"/>
      <sz val="10"/>
    </font>
    <font>
      <name val="ＭＳ ゴシック"/>
      <charset val="128"/>
      <family val="3"/>
      <sz val="12"/>
    </font>
    <font>
      <name val="ＭＳ 明朝"/>
      <charset val="128"/>
      <family val="1"/>
      <sz val="8"/>
    </font>
    <font>
      <name val="ＭＳ ゴシック"/>
      <charset val="128"/>
      <family val="3"/>
      <sz val="9"/>
    </font>
    <font>
      <name val="ＭＳ Ｐ明朝"/>
      <charset val="128"/>
      <family val="1"/>
      <sz val="9"/>
    </font>
    <font>
      <name val="ＭＳ 明朝"/>
      <charset val="128"/>
      <family val="1"/>
      <color indexed="10"/>
      <sz val="9"/>
    </font>
    <font>
      <name val="ＭＳ 明朝"/>
      <charset val="128"/>
      <family val="1"/>
      <b val="1"/>
      <color indexed="10"/>
      <sz val="9"/>
    </font>
    <font>
      <name val="ＭＳ Ｐゴシック"/>
      <charset val="128"/>
      <family val="3"/>
      <sz val="11"/>
      <u val="single"/>
    </font>
    <font>
      <name val="ＭＳ Ｐゴシック"/>
      <charset val="128"/>
      <family val="3"/>
      <b val="1"/>
      <sz val="11"/>
    </font>
    <font>
      <name val="ＭＳ Ｐ明朝"/>
      <charset val="128"/>
      <family val="1"/>
      <sz val="11"/>
    </font>
    <font>
      <name val="ＭＳ 明朝"/>
      <charset val="128"/>
      <family val="1"/>
      <b val="1"/>
      <sz val="11"/>
    </font>
    <font>
      <name val="ＭＳ Ｐゴシック"/>
      <charset val="128"/>
      <family val="3"/>
      <sz val="12"/>
      <scheme val="minor"/>
    </font>
    <font>
      <name val="ＭＳ 明朝"/>
      <charset val="128"/>
      <family val="1"/>
      <b val="1"/>
      <color rgb="FFFF0000"/>
      <sz val="11"/>
    </font>
    <font>
      <name val="MS P ゴシック"/>
      <charset val="128"/>
      <family val="3"/>
      <color indexed="81"/>
      <sz val="9"/>
    </font>
    <font>
      <name val="MS P ゴシック"/>
      <charset val="128"/>
      <family val="3"/>
      <b val="1"/>
      <color indexed="81"/>
      <sz val="9"/>
    </font>
    <font>
      <name val="ＭＳ 明朝"/>
      <charset val="128"/>
      <family val="1"/>
      <sz val="11"/>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1"/>
        <bgColor indexed="64"/>
      </patternFill>
    </fill>
    <fill>
      <patternFill patternType="solid">
        <fgColor indexed="13"/>
        <bgColor indexed="64"/>
      </patternFill>
    </fill>
    <fill>
      <patternFill patternType="solid">
        <fgColor rgb="FFFFFF00"/>
        <bgColor indexed="64"/>
      </patternFill>
    </fill>
  </fills>
  <borders count="6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diagonalUp="1">
      <left style="thin">
        <color indexed="64"/>
      </left>
      <right style="double">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4">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38" fontId="1" fillId="0" borderId="0" applyAlignment="1">
      <alignment vertical="center"/>
    </xf>
    <xf numFmtId="38" fontId="1"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2">
    <xf numFmtId="0" fontId="0" fillId="0" borderId="0" applyAlignment="1" pivotButton="0" quotePrefix="0" xfId="0">
      <alignment vertical="center"/>
    </xf>
    <xf numFmtId="0" fontId="20" fillId="0" borderId="0" applyAlignment="1" pivotButton="0" quotePrefix="0" xfId="0">
      <alignment horizontal="center" vertical="center"/>
    </xf>
    <xf numFmtId="0" fontId="21" fillId="0" borderId="0" applyAlignment="1" pivotButton="0" quotePrefix="0" xfId="0">
      <alignment vertical="center"/>
    </xf>
    <xf numFmtId="0" fontId="23" fillId="24" borderId="1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3" fillId="0" borderId="0" applyAlignment="1" applyProtection="1" pivotButton="0" quotePrefix="0" xfId="0">
      <alignment vertical="center"/>
      <protection locked="0" hidden="0"/>
    </xf>
    <xf numFmtId="0" fontId="21"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1" fillId="0" borderId="11" applyAlignment="1" pivotButton="0" quotePrefix="0" xfId="0">
      <alignment horizontal="center" vertical="center"/>
    </xf>
    <xf numFmtId="0" fontId="23" fillId="0" borderId="0" applyAlignment="1" applyProtection="1" pivotButton="0" quotePrefix="0" xfId="0">
      <alignment vertical="center" shrinkToFit="1"/>
      <protection locked="0" hidden="0"/>
    </xf>
    <xf numFmtId="0" fontId="24" fillId="0" borderId="0" applyAlignment="1" pivotButton="0" quotePrefix="0" xfId="0">
      <alignment horizontal="center" vertical="center"/>
    </xf>
    <xf numFmtId="0" fontId="24" fillId="0" borderId="0" applyAlignment="1" pivotButton="0" quotePrefix="0" xfId="0">
      <alignment horizontal="right" vertical="center" shrinkToFit="1"/>
    </xf>
    <xf numFmtId="164" fontId="24" fillId="0" borderId="0" applyAlignment="1" pivotButton="0" quotePrefix="0" xfId="0">
      <alignment horizontal="center" vertical="center" shrinkToFit="1"/>
    </xf>
    <xf numFmtId="164" fontId="24" fillId="0" borderId="0" applyAlignment="1" pivotButton="0" quotePrefix="0" xfId="0">
      <alignment horizontal="center" vertical="center" shrinkToFit="1"/>
    </xf>
    <xf numFmtId="0" fontId="21" fillId="0" borderId="12"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shrinkToFit="1"/>
    </xf>
    <xf numFmtId="0" fontId="25" fillId="24" borderId="13" applyAlignment="1" applyProtection="1" pivotButton="0" quotePrefix="0" xfId="0">
      <alignment horizontal="center" vertical="center" shrinkToFit="1"/>
      <protection locked="0" hidden="0"/>
    </xf>
    <xf numFmtId="0" fontId="25" fillId="0" borderId="0" applyAlignment="1" applyProtection="1" pivotButton="0" quotePrefix="0" xfId="0">
      <alignment horizontal="center" vertical="center" shrinkToFit="1"/>
      <protection locked="0" hidden="0"/>
    </xf>
    <xf numFmtId="0" fontId="25" fillId="24" borderId="12" applyAlignment="1" applyProtection="1" pivotButton="0" quotePrefix="0" xfId="0">
      <alignment horizontal="center" vertical="center" shrinkToFit="1"/>
      <protection locked="0" hidden="0"/>
    </xf>
    <xf numFmtId="0" fontId="25" fillId="24" borderId="19" applyAlignment="1" applyProtection="1" pivotButton="0" quotePrefix="0" xfId="0">
      <alignment horizontal="center" vertical="center" shrinkToFit="1"/>
      <protection locked="0" hidden="0"/>
    </xf>
    <xf numFmtId="0" fontId="21" fillId="0" borderId="0" applyAlignment="1" pivotButton="0" quotePrefix="0" xfId="0">
      <alignment horizontal="center" vertical="center"/>
    </xf>
    <xf numFmtId="0" fontId="21" fillId="0" borderId="0" applyAlignment="1" pivotButton="0" quotePrefix="0" xfId="0">
      <alignment vertical="center" shrinkToFit="1"/>
    </xf>
    <xf numFmtId="0" fontId="22" fillId="0" borderId="0" applyAlignment="1" pivotButton="0" quotePrefix="0" xfId="0">
      <alignment horizontal="center" vertical="center"/>
    </xf>
    <xf numFmtId="165" fontId="26" fillId="0" borderId="12" applyAlignment="1" pivotButton="0" quotePrefix="0" xfId="33">
      <alignment vertical="center"/>
    </xf>
    <xf numFmtId="165" fontId="26" fillId="0" borderId="0" applyAlignment="1" pivotButton="0" quotePrefix="0" xfId="33">
      <alignment vertical="center"/>
    </xf>
    <xf numFmtId="0" fontId="27" fillId="25" borderId="21" applyAlignment="1" pivotButton="0" quotePrefix="0" xfId="0">
      <alignment horizontal="center" vertical="center"/>
    </xf>
    <xf numFmtId="0" fontId="28" fillId="25" borderId="14" applyAlignment="1" pivotButton="0" quotePrefix="0" xfId="0">
      <alignment vertical="center"/>
    </xf>
    <xf numFmtId="0" fontId="28" fillId="25" borderId="11" applyAlignment="1" pivotButton="0" quotePrefix="0" xfId="0">
      <alignment vertical="center"/>
    </xf>
    <xf numFmtId="0" fontId="28" fillId="25" borderId="22" applyAlignment="1" pivotButton="0" quotePrefix="0" xfId="0">
      <alignment vertical="center"/>
    </xf>
    <xf numFmtId="0" fontId="28" fillId="0" borderId="0" applyAlignment="1" pivotButton="0" quotePrefix="0" xfId="0">
      <alignment vertical="center"/>
    </xf>
    <xf numFmtId="0" fontId="27" fillId="25" borderId="21" applyAlignment="1" pivotButton="0" quotePrefix="1" xfId="0">
      <alignment horizontal="center" vertical="center"/>
    </xf>
    <xf numFmtId="0" fontId="27" fillId="25" borderId="14" applyAlignment="1" pivotButton="0" quotePrefix="0" xfId="0">
      <alignment vertical="center"/>
    </xf>
    <xf numFmtId="0" fontId="27" fillId="25" borderId="23" applyAlignment="1" pivotButton="0" quotePrefix="0" xfId="0">
      <alignment vertical="center"/>
    </xf>
    <xf numFmtId="0" fontId="27" fillId="25" borderId="12" applyAlignment="1" pivotButton="0" quotePrefix="0" xfId="0">
      <alignmen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vertical="center"/>
    </xf>
    <xf numFmtId="0" fontId="27" fillId="0" borderId="0" applyAlignment="1" pivotButton="0" quotePrefix="0" xfId="0">
      <alignment vertical="center"/>
    </xf>
    <xf numFmtId="0" fontId="27" fillId="25" borderId="25" applyAlignment="1" pivotButton="0" quotePrefix="0" xfId="0">
      <alignment vertical="center"/>
    </xf>
    <xf numFmtId="0" fontId="27" fillId="25" borderId="0" applyAlignment="1" pivotButton="0" quotePrefix="0" xfId="0">
      <alignment horizontal="center" vertical="center"/>
    </xf>
    <xf numFmtId="0" fontId="21" fillId="25" borderId="0" applyAlignment="1" pivotButton="0" quotePrefix="0" xfId="0">
      <alignment vertical="center"/>
    </xf>
    <xf numFmtId="0" fontId="27" fillId="25" borderId="0" applyAlignment="1" pivotButton="0" quotePrefix="1" xfId="0">
      <alignment horizontal="center" vertical="center"/>
    </xf>
    <xf numFmtId="0" fontId="0" fillId="0" borderId="0" applyAlignment="1" pivotButton="0" quotePrefix="0" xfId="0">
      <alignment vertical="center"/>
    </xf>
    <xf numFmtId="166" fontId="21" fillId="0" borderId="0" applyAlignment="1" pivotButton="0" quotePrefix="0" xfId="0">
      <alignment vertical="center"/>
    </xf>
    <xf numFmtId="0" fontId="27" fillId="25" borderId="12" applyAlignment="1" pivotButton="0" quotePrefix="0" xfId="0">
      <alignment horizontal="center" vertical="center"/>
    </xf>
    <xf numFmtId="0" fontId="27" fillId="25" borderId="26" applyAlignment="1" pivotButton="0" quotePrefix="0" xfId="0">
      <alignment horizontal="center" vertical="center"/>
    </xf>
    <xf numFmtId="0" fontId="30" fillId="0" borderId="0" applyAlignment="1" pivotButton="0" quotePrefix="0" xfId="0">
      <alignment vertical="center"/>
    </xf>
    <xf numFmtId="164" fontId="21" fillId="0" borderId="0" applyAlignment="1" pivotButton="0" quotePrefix="0" xfId="0">
      <alignment vertical="center"/>
    </xf>
    <xf numFmtId="0" fontId="24" fillId="0" borderId="0" applyAlignment="1" pivotButton="0" quotePrefix="0" xfId="0">
      <alignment vertical="center"/>
    </xf>
    <xf numFmtId="0" fontId="25" fillId="24" borderId="22" applyAlignment="1" applyProtection="1" pivotButton="0" quotePrefix="0" xfId="0">
      <alignment horizontal="center" vertical="center" shrinkToFit="1"/>
      <protection locked="0" hidden="0"/>
    </xf>
    <xf numFmtId="0" fontId="25" fillId="24" borderId="32" applyAlignment="1" applyProtection="1" pivotButton="0" quotePrefix="0" xfId="0">
      <alignment horizontal="center" vertical="center" shrinkToFit="1"/>
      <protection locked="0" hidden="0"/>
    </xf>
    <xf numFmtId="0" fontId="0" fillId="0" borderId="0" applyAlignment="1" pivotButton="0" quotePrefix="0" xfId="0">
      <alignment horizontal="left" vertical="top" wrapText="1"/>
    </xf>
    <xf numFmtId="0" fontId="28" fillId="25" borderId="0" applyAlignment="1" pivotButton="0" quotePrefix="0" xfId="0">
      <alignment vertical="center"/>
    </xf>
    <xf numFmtId="0" fontId="27" fillId="25" borderId="0" applyAlignment="1" pivotButton="0" quotePrefix="0" xfId="0">
      <alignment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0" fontId="25" fillId="24" borderId="34" applyAlignment="1" applyProtection="1" pivotButton="0" quotePrefix="0" xfId="0">
      <alignment horizontal="center" vertical="center" shrinkToFit="1"/>
      <protection locked="0" hidden="0"/>
    </xf>
    <xf numFmtId="0" fontId="21" fillId="0" borderId="0" applyAlignment="1" pivotButton="0" quotePrefix="0" xfId="0">
      <alignment vertical="center"/>
    </xf>
    <xf numFmtId="0" fontId="23" fillId="0" borderId="0" applyAlignment="1" applyProtection="1" pivotButton="0" quotePrefix="0" xfId="0">
      <alignment horizontal="center" vertical="center" shrinkToFit="1"/>
      <protection locked="0" hidden="0"/>
    </xf>
    <xf numFmtId="0" fontId="23" fillId="0" borderId="0" applyAlignment="1" applyProtection="1" pivotButton="0" quotePrefix="0" xfId="0">
      <alignment horizontal="center" vertical="center"/>
      <protection locked="0" hidden="0"/>
    </xf>
    <xf numFmtId="0" fontId="22" fillId="0" borderId="0" applyAlignment="1" pivotButton="0" quotePrefix="0" xfId="0">
      <alignment vertical="center"/>
    </xf>
    <xf numFmtId="167" fontId="25" fillId="24" borderId="21" applyAlignment="1" applyProtection="1" pivotButton="0" quotePrefix="0" xfId="0">
      <alignment horizontal="center" vertical="center" shrinkToFit="1"/>
      <protection locked="0" hidden="0"/>
    </xf>
    <xf numFmtId="167" fontId="25" fillId="24" borderId="34" applyAlignment="1" applyProtection="1" pivotButton="0" quotePrefix="0" xfId="0">
      <alignment horizontal="center" vertical="center" shrinkToFit="1"/>
      <protection locked="0" hidden="0"/>
    </xf>
    <xf numFmtId="167" fontId="25" fillId="24" borderId="14" applyAlignment="1" applyProtection="1" pivotButton="0" quotePrefix="0" xfId="0">
      <alignment horizontal="center" vertical="center" shrinkToFit="1"/>
      <protection locked="0" hidden="0"/>
    </xf>
    <xf numFmtId="0" fontId="25" fillId="26" borderId="16" applyAlignment="1" applyProtection="1" pivotButton="0" quotePrefix="0" xfId="0">
      <alignment horizontal="center" vertical="center" shrinkToFit="1"/>
      <protection locked="0" hidden="0"/>
    </xf>
    <xf numFmtId="0" fontId="25" fillId="26" borderId="36" applyAlignment="1" applyProtection="1" pivotButton="0" quotePrefix="0" xfId="0">
      <alignment horizontal="center" vertical="center" shrinkToFit="1"/>
      <protection locked="0" hidden="0"/>
    </xf>
    <xf numFmtId="0" fontId="25" fillId="26" borderId="27" applyAlignment="1" applyProtection="1" pivotButton="0" quotePrefix="0" xfId="0">
      <alignment horizontal="center" vertical="center" shrinkToFit="1"/>
      <protection locked="0" hidden="0"/>
    </xf>
    <xf numFmtId="0" fontId="25" fillId="26" borderId="37" applyAlignment="1" applyProtection="1" pivotButton="0" quotePrefix="0" xfId="0">
      <alignment horizontal="center" vertical="center" shrinkToFit="1"/>
      <protection locked="0" hidden="0"/>
    </xf>
    <xf numFmtId="0" fontId="25" fillId="26" borderId="38" applyAlignment="1" applyProtection="1" pivotButton="0" quotePrefix="0" xfId="0">
      <alignment horizontal="center" vertical="center" shrinkToFit="1"/>
      <protection locked="0" hidden="0"/>
    </xf>
    <xf numFmtId="0" fontId="25" fillId="26" borderId="30" applyAlignment="1" applyProtection="1" pivotButton="0" quotePrefix="0" xfId="0">
      <alignment horizontal="center" vertical="center" shrinkToFit="1"/>
      <protection locked="0" hidden="0"/>
    </xf>
    <xf numFmtId="0" fontId="25" fillId="26" borderId="31" applyAlignment="1" applyProtection="1" pivotButton="0" quotePrefix="0" xfId="0">
      <alignment horizontal="center" vertical="center" shrinkToFit="1"/>
      <protection locked="0" hidden="0"/>
    </xf>
    <xf numFmtId="0" fontId="21" fillId="0" borderId="50" applyAlignment="1" pivotButton="0" quotePrefix="0" xfId="0">
      <alignment vertical="center" shrinkToFit="1"/>
    </xf>
    <xf numFmtId="0" fontId="21" fillId="0" borderId="51" applyAlignment="1" pivotButton="0" quotePrefix="0" xfId="0">
      <alignment vertical="center" shrinkToFit="1"/>
    </xf>
    <xf numFmtId="0" fontId="21" fillId="26" borderId="33" applyAlignment="1" pivotButton="0" quotePrefix="0" xfId="0">
      <alignment vertical="center" shrinkToFit="1"/>
    </xf>
    <xf numFmtId="167" fontId="21" fillId="26" borderId="35" applyAlignment="1" pivotButton="0" quotePrefix="0" xfId="0">
      <alignment vertical="center" shrinkToFit="1"/>
    </xf>
    <xf numFmtId="0" fontId="21" fillId="26" borderId="20" applyAlignment="1" pivotButton="0" quotePrefix="0" xfId="0">
      <alignment vertical="center" shrinkToFit="1"/>
    </xf>
    <xf numFmtId="0" fontId="21" fillId="0" borderId="0" applyAlignment="1" pivotButton="0" quotePrefix="0" xfId="0">
      <alignment vertical="center" wrapText="1" shrinkToFit="1"/>
    </xf>
    <xf numFmtId="0" fontId="21" fillId="0" borderId="0" applyAlignment="1" pivotButton="0" quotePrefix="0" xfId="0">
      <alignment vertical="center" shrinkToFit="1"/>
    </xf>
    <xf numFmtId="0" fontId="20" fillId="0" borderId="0" applyAlignment="1" pivotButton="0" quotePrefix="0" xfId="0">
      <alignment vertical="center"/>
    </xf>
    <xf numFmtId="0" fontId="34" fillId="0" borderId="0" applyAlignment="1" pivotButton="0" quotePrefix="0" xfId="0">
      <alignment horizontal="center" vertical="center" wrapText="1"/>
    </xf>
    <xf numFmtId="0" fontId="37" fillId="0" borderId="10" applyAlignment="1" pivotButton="0" quotePrefix="0" xfId="0">
      <alignment vertical="center"/>
    </xf>
    <xf numFmtId="0" fontId="37" fillId="0" borderId="0" applyAlignment="1" pivotButton="0" quotePrefix="0" xfId="0">
      <alignment vertical="center"/>
    </xf>
    <xf numFmtId="168" fontId="31" fillId="0" borderId="12" applyAlignment="1" pivotButton="0" quotePrefix="0" xfId="0">
      <alignment horizontal="center" vertical="center"/>
    </xf>
    <xf numFmtId="0" fontId="31" fillId="0" borderId="14" applyAlignment="1" pivotButton="0" quotePrefix="0" xfId="0">
      <alignment horizontal="center" vertical="center"/>
    </xf>
    <xf numFmtId="168" fontId="31" fillId="0" borderId="28" applyAlignment="1" pivotButton="0" quotePrefix="0" xfId="0">
      <alignment horizontal="center" vertical="center"/>
    </xf>
    <xf numFmtId="0" fontId="31" fillId="0" borderId="29" applyAlignment="1" pivotButton="0" quotePrefix="0" xfId="0">
      <alignment horizontal="center" vertical="center"/>
    </xf>
    <xf numFmtId="168" fontId="31" fillId="0" borderId="15" applyAlignment="1" pivotButton="0" quotePrefix="0" xfId="0">
      <alignment horizontal="center" vertical="center"/>
    </xf>
    <xf numFmtId="0" fontId="31" fillId="0" borderId="16" applyAlignment="1" pivotButton="0" quotePrefix="0" xfId="0">
      <alignment horizontal="center" vertical="center"/>
    </xf>
    <xf numFmtId="168" fontId="31" fillId="0" borderId="17" applyAlignment="1" pivotButton="0" quotePrefix="0" xfId="0">
      <alignment horizontal="center" vertical="center"/>
    </xf>
    <xf numFmtId="0" fontId="31" fillId="0" borderId="18" applyAlignment="1" pivotButton="0" quotePrefix="0" xfId="0">
      <alignment horizontal="center" vertical="center"/>
    </xf>
    <xf numFmtId="0" fontId="22" fillId="0" borderId="13" applyAlignment="1" pivotButton="0" quotePrefix="0" xfId="0">
      <alignment horizontal="center" vertical="center" shrinkToFit="1"/>
    </xf>
    <xf numFmtId="0" fontId="22" fillId="0" borderId="21" applyAlignment="1" pivotButton="0" quotePrefix="0" xfId="0">
      <alignment horizontal="center" vertical="center" shrinkToFit="1"/>
    </xf>
    <xf numFmtId="0" fontId="22" fillId="0" borderId="23" applyAlignment="1" pivotButton="0" quotePrefix="0" xfId="0">
      <alignment horizontal="center" vertical="center" shrinkToFit="1"/>
    </xf>
    <xf numFmtId="0" fontId="22" fillId="0" borderId="27" applyAlignment="1" pivotButton="0" quotePrefix="0" xfId="0">
      <alignment horizontal="center" vertical="center" shrinkToFit="1"/>
    </xf>
    <xf numFmtId="0" fontId="22" fillId="0" borderId="16" applyAlignment="1" pivotButton="0" quotePrefix="0" xfId="0">
      <alignment horizontal="center" vertical="center" shrinkToFit="1"/>
    </xf>
    <xf numFmtId="0" fontId="22" fillId="0" borderId="12" applyAlignment="1" pivotButton="0" quotePrefix="0" xfId="0">
      <alignment horizontal="center" vertical="center" shrinkToFit="1"/>
    </xf>
    <xf numFmtId="0" fontId="20" fillId="0" borderId="0" applyAlignment="1" pivotButton="0" quotePrefix="0" xfId="0">
      <alignment horizontal="center" vertical="center"/>
    </xf>
    <xf numFmtId="0" fontId="23" fillId="24" borderId="10" applyAlignment="1" applyProtection="1" pivotButton="0" quotePrefix="0" xfId="0">
      <alignment horizontal="center" vertical="center"/>
      <protection locked="0" hidden="0"/>
    </xf>
    <xf numFmtId="0" fontId="0" fillId="0" borderId="0" applyAlignment="1" pivotButton="0" quotePrefix="0" xfId="0">
      <alignment horizontal="left" vertical="top" wrapText="1"/>
    </xf>
    <xf numFmtId="0" fontId="0" fillId="0" borderId="0" applyAlignment="1" pivotButton="0" quotePrefix="0" xfId="0">
      <alignment horizontal="left" vertical="top" wrapText="1"/>
    </xf>
    <xf numFmtId="164" fontId="27" fillId="25" borderId="14" applyAlignment="1" pivotButton="0" quotePrefix="0" xfId="0">
      <alignment horizontal="center" vertical="center" shrinkToFit="1"/>
    </xf>
    <xf numFmtId="164" fontId="27" fillId="25" borderId="12" applyAlignment="1" pivotButton="0" quotePrefix="0" xfId="0">
      <alignment horizontal="center" vertical="center" shrinkToFit="1"/>
    </xf>
    <xf numFmtId="164" fontId="27" fillId="25" borderId="14" applyAlignment="1" pivotButton="0" quotePrefix="0" xfId="0">
      <alignment horizontal="center" vertical="center"/>
    </xf>
    <xf numFmtId="164" fontId="27" fillId="25" borderId="12" applyAlignment="1" pivotButton="0" quotePrefix="0" xfId="0">
      <alignment horizontal="center" vertical="center"/>
    </xf>
    <xf numFmtId="0" fontId="23" fillId="0" borderId="21" applyAlignment="1" pivotButton="0" quotePrefix="0" xfId="0">
      <alignment horizontal="center" vertical="center"/>
    </xf>
    <xf numFmtId="165" fontId="33" fillId="26" borderId="14" applyAlignment="1" pivotButton="0" quotePrefix="0" xfId="34">
      <alignment horizontal="right" vertical="center"/>
    </xf>
    <xf numFmtId="165" fontId="33" fillId="26" borderId="23" applyAlignment="1" pivotButton="0" quotePrefix="0" xfId="34">
      <alignment horizontal="right" vertical="center"/>
    </xf>
    <xf numFmtId="0" fontId="34" fillId="0" borderId="29" applyAlignment="1" pivotButton="0" quotePrefix="0" xfId="0">
      <alignment horizontal="center" vertical="center" wrapText="1"/>
    </xf>
    <xf numFmtId="0" fontId="34" fillId="0" borderId="11"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52" applyAlignment="1" pivotButton="0" quotePrefix="0" xfId="0">
      <alignment horizontal="center" vertical="center" wrapText="1"/>
    </xf>
    <xf numFmtId="0" fontId="34" fillId="0" borderId="10" applyAlignment="1" pivotButton="0" quotePrefix="0" xfId="0">
      <alignment horizontal="center" vertical="center" wrapText="1"/>
    </xf>
    <xf numFmtId="0" fontId="34" fillId="0" borderId="24" applyAlignment="1" pivotButton="0" quotePrefix="0" xfId="0">
      <alignment horizontal="center" vertical="center" wrapText="1"/>
    </xf>
    <xf numFmtId="0" fontId="32" fillId="0" borderId="14" applyAlignment="1" pivotButton="0" quotePrefix="0" xfId="0">
      <alignment horizontal="center" vertical="center"/>
    </xf>
    <xf numFmtId="0" fontId="32" fillId="0" borderId="23" applyAlignment="1" pivotButton="0" quotePrefix="0" xfId="0">
      <alignment horizontal="center" vertical="center"/>
    </xf>
    <xf numFmtId="0" fontId="32" fillId="0" borderId="12" applyAlignment="1" pivotButton="0" quotePrefix="0" xfId="0">
      <alignment horizontal="center" vertical="center"/>
    </xf>
    <xf numFmtId="0" fontId="21" fillId="0" borderId="43" applyAlignment="1" pivotButton="0" quotePrefix="0" xfId="0">
      <alignment horizontal="center" vertical="center"/>
    </xf>
    <xf numFmtId="0" fontId="21" fillId="0" borderId="44" applyAlignment="1" pivotButton="0" quotePrefix="0" xfId="0">
      <alignment horizontal="center" vertical="center"/>
    </xf>
    <xf numFmtId="0" fontId="22" fillId="0" borderId="21" applyAlignment="1" pivotButton="0" quotePrefix="0" xfId="0">
      <alignment horizontal="center" vertical="center"/>
    </xf>
    <xf numFmtId="0" fontId="37" fillId="0" borderId="21" applyAlignment="1" pivotButton="0" quotePrefix="0" xfId="0">
      <alignment horizontal="center" vertical="center"/>
    </xf>
    <xf numFmtId="0" fontId="37" fillId="0" borderId="14" applyAlignment="1" pivotButton="0" quotePrefix="0" xfId="0">
      <alignment horizontal="center" vertical="center" shrinkToFit="1"/>
    </xf>
    <xf numFmtId="0" fontId="37" fillId="0" borderId="23" applyAlignment="1" pivotButton="0" quotePrefix="0" xfId="0">
      <alignment horizontal="center" vertical="center" shrinkToFit="1"/>
    </xf>
    <xf numFmtId="0" fontId="37" fillId="0" borderId="12" applyAlignment="1" pivotButton="0" quotePrefix="0" xfId="0">
      <alignment horizontal="center" vertical="center" shrinkToFit="1"/>
    </xf>
    <xf numFmtId="0" fontId="37" fillId="0" borderId="14" applyAlignment="1" pivotButton="0" quotePrefix="0" xfId="0">
      <alignment horizontal="center" vertical="center"/>
    </xf>
    <xf numFmtId="0" fontId="37" fillId="0" borderId="23" applyAlignment="1" pivotButton="0" quotePrefix="0" xfId="0">
      <alignment horizontal="center" vertical="center"/>
    </xf>
    <xf numFmtId="0" fontId="37" fillId="0" borderId="12" applyAlignment="1" pivotButton="0" quotePrefix="0" xfId="0">
      <alignment horizontal="center" vertical="center"/>
    </xf>
    <xf numFmtId="0" fontId="21" fillId="0" borderId="14" applyAlignment="1" pivotButton="0" quotePrefix="0" xfId="0">
      <alignment vertical="center" wrapText="1" shrinkToFit="1"/>
    </xf>
    <xf numFmtId="0" fontId="21" fillId="0" borderId="23" applyAlignment="1" pivotButton="0" quotePrefix="0" xfId="0">
      <alignment vertical="center" shrinkToFit="1"/>
    </xf>
    <xf numFmtId="0" fontId="21" fillId="0" borderId="12" applyAlignment="1" pivotButton="0" quotePrefix="0" xfId="0">
      <alignment vertical="center" shrinkToFit="1"/>
    </xf>
    <xf numFmtId="38" fontId="23" fillId="24" borderId="23" applyAlignment="1" applyProtection="1" pivotButton="0" quotePrefix="0" xfId="33">
      <alignment vertical="center"/>
      <protection locked="0" hidden="0"/>
    </xf>
    <xf numFmtId="0" fontId="24" fillId="0" borderId="14" applyAlignment="1" pivotButton="0" quotePrefix="0" xfId="0">
      <alignment vertical="center" wrapText="1" shrinkToFit="1"/>
    </xf>
    <xf numFmtId="0" fontId="24" fillId="0" borderId="23" applyAlignment="1" pivotButton="0" quotePrefix="0" xfId="0">
      <alignment vertical="center" shrinkToFit="1"/>
    </xf>
    <xf numFmtId="0" fontId="24" fillId="0" borderId="12" applyAlignment="1" pivotButton="0" quotePrefix="0" xfId="0">
      <alignment vertical="center" shrinkToFit="1"/>
    </xf>
    <xf numFmtId="38" fontId="23" fillId="26" borderId="23" applyAlignment="1" applyProtection="1" pivotButton="0" quotePrefix="0" xfId="33">
      <alignment vertical="center"/>
      <protection locked="0" hidden="0"/>
    </xf>
    <xf numFmtId="0" fontId="22" fillId="0" borderId="45" applyAlignment="1" pivotButton="0" quotePrefix="0" xfId="0">
      <alignment horizontal="center" vertical="center"/>
    </xf>
    <xf numFmtId="0" fontId="22" fillId="0" borderId="28" applyAlignment="1" pivotButton="0" quotePrefix="0" xfId="0">
      <alignment horizontal="center" vertical="center"/>
    </xf>
    <xf numFmtId="0" fontId="22" fillId="0" borderId="46" applyAlignment="1" pivotButton="0" quotePrefix="0" xfId="0">
      <alignment horizontal="center" vertical="center"/>
    </xf>
    <xf numFmtId="0" fontId="22" fillId="0" borderId="16" applyAlignment="1" pivotButton="0" quotePrefix="0" xfId="0">
      <alignment horizontal="center" vertical="center"/>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7" applyAlignment="1" pivotButton="0" quotePrefix="0" xfId="0">
      <alignment horizontal="center" vertical="center"/>
    </xf>
    <xf numFmtId="0" fontId="22" fillId="0" borderId="48" applyAlignment="1" pivotButton="0" quotePrefix="0" xfId="0">
      <alignment horizontal="center" vertical="center"/>
    </xf>
    <xf numFmtId="0" fontId="22" fillId="0" borderId="49" applyAlignment="1" pivotButton="0" quotePrefix="0" xfId="0">
      <alignment horizontal="center" vertical="center"/>
    </xf>
    <xf numFmtId="0" fontId="22" fillId="0" borderId="14" applyAlignment="1" pivotButton="0" quotePrefix="0" xfId="0">
      <alignment horizontal="center" vertical="center"/>
    </xf>
    <xf numFmtId="0" fontId="21" fillId="0" borderId="14" applyAlignment="1" pivotButton="0" quotePrefix="0" xfId="0">
      <alignment vertical="center"/>
    </xf>
    <xf numFmtId="0" fontId="21" fillId="0" borderId="23" applyAlignment="1" pivotButton="0" quotePrefix="0" xfId="0">
      <alignment vertical="center"/>
    </xf>
    <xf numFmtId="0" fontId="21" fillId="0" borderId="12" applyAlignment="1" pivotButton="0" quotePrefix="0" xfId="0">
      <alignment vertical="center"/>
    </xf>
    <xf numFmtId="0" fontId="23" fillId="24" borderId="14" applyAlignment="1" applyProtection="1" pivotButton="0" quotePrefix="0" xfId="0">
      <alignment horizontal="center" vertical="center" shrinkToFit="1"/>
      <protection locked="0" hidden="0"/>
    </xf>
    <xf numFmtId="0" fontId="23" fillId="24" borderId="23" applyAlignment="1" applyProtection="1" pivotButton="0" quotePrefix="0" xfId="0">
      <alignment horizontal="center" vertical="center" shrinkToFit="1"/>
      <protection locked="0" hidden="0"/>
    </xf>
    <xf numFmtId="0" fontId="23" fillId="24" borderId="12" applyAlignment="1" applyProtection="1" pivotButton="0" quotePrefix="0" xfId="0">
      <alignment horizontal="center" vertical="center" shrinkToFit="1"/>
      <protection locked="0" hidden="0"/>
    </xf>
    <xf numFmtId="0" fontId="20" fillId="0" borderId="0" applyAlignment="1" pivotButton="0" quotePrefix="0" xfId="0">
      <alignment horizontal="center" vertical="center"/>
    </xf>
    <xf numFmtId="0" fontId="37" fillId="0" borderId="10" applyAlignment="1" pivotButton="0" quotePrefix="0" xfId="0">
      <alignment vertical="center"/>
    </xf>
    <xf numFmtId="0" fontId="23" fillId="24" borderId="10" applyAlignment="1" applyProtection="1" pivotButton="0" quotePrefix="0" xfId="0">
      <alignment horizontal="center" vertical="center"/>
      <protection locked="0" hidden="0"/>
    </xf>
    <xf numFmtId="0" fontId="0" fillId="0" borderId="0" pivotButton="0" quotePrefix="0" xfId="0"/>
    <xf numFmtId="0" fontId="0" fillId="0" borderId="10" pivotButton="0" quotePrefix="0" xfId="0"/>
    <xf numFmtId="0" fontId="0" fillId="0" borderId="10" applyProtection="1" pivotButton="0" quotePrefix="0" xfId="0">
      <protection locked="0" hidden="0"/>
    </xf>
    <xf numFmtId="0" fontId="21" fillId="0" borderId="21" applyAlignment="1" pivotButton="0" quotePrefix="0" xfId="0">
      <alignment vertical="center"/>
    </xf>
    <xf numFmtId="0" fontId="0" fillId="0" borderId="23" pivotButton="0" quotePrefix="0" xfId="0"/>
    <xf numFmtId="0" fontId="0" fillId="0" borderId="12" pivotButton="0" quotePrefix="0" xfId="0"/>
    <xf numFmtId="0" fontId="0" fillId="0" borderId="23" applyProtection="1" pivotButton="0" quotePrefix="0" xfId="0">
      <protection locked="0" hidden="0"/>
    </xf>
    <xf numFmtId="0" fontId="0" fillId="0" borderId="12" applyProtection="1" pivotButton="0" quotePrefix="0" xfId="0">
      <protection locked="0" hidden="0"/>
    </xf>
    <xf numFmtId="0" fontId="21" fillId="0" borderId="21" applyAlignment="1" pivotButton="0" quotePrefix="0" xfId="0">
      <alignment vertical="center" wrapText="1" shrinkToFit="1"/>
    </xf>
    <xf numFmtId="164" fontId="24" fillId="0" borderId="0" applyAlignment="1" pivotButton="0" quotePrefix="0" xfId="0">
      <alignment horizontal="center" vertical="center" shrinkToFit="1"/>
    </xf>
    <xf numFmtId="0" fontId="24" fillId="0" borderId="21" applyAlignment="1" pivotButton="0" quotePrefix="0" xfId="0">
      <alignment vertical="center" wrapText="1" shrinkToFit="1"/>
    </xf>
    <xf numFmtId="0" fontId="22" fillId="0" borderId="58" applyAlignment="1" pivotButton="0" quotePrefix="0" xfId="0">
      <alignment horizontal="center" vertical="center"/>
    </xf>
    <xf numFmtId="0" fontId="0" fillId="0" borderId="40" pivotButton="0" quotePrefix="0" xfId="0"/>
    <xf numFmtId="0" fontId="0" fillId="0" borderId="41" pivotButton="0" quotePrefix="0" xfId="0"/>
    <xf numFmtId="0" fontId="22" fillId="0" borderId="61" applyAlignment="1" pivotButton="0" quotePrefix="0" xfId="0">
      <alignment horizontal="center" vertical="center"/>
    </xf>
    <xf numFmtId="0" fontId="0" fillId="0" borderId="42" pivotButton="0" quotePrefix="0" xfId="0"/>
    <xf numFmtId="0" fontId="0" fillId="0" borderId="48" pivotButton="0" quotePrefix="0" xfId="0"/>
    <xf numFmtId="0" fontId="0" fillId="0" borderId="57" pivotButton="0" quotePrefix="0" xfId="0"/>
    <xf numFmtId="0" fontId="0" fillId="0" borderId="52" pivotButton="0" quotePrefix="0" xfId="0"/>
    <xf numFmtId="168" fontId="31" fillId="0" borderId="15" applyAlignment="1" pivotButton="0" quotePrefix="0" xfId="0">
      <alignment horizontal="center" vertical="center"/>
    </xf>
    <xf numFmtId="167" fontId="25" fillId="24" borderId="21" applyAlignment="1" applyProtection="1" pivotButton="0" quotePrefix="0" xfId="0">
      <alignment horizontal="center" vertical="center" shrinkToFit="1"/>
      <protection locked="0" hidden="0"/>
    </xf>
    <xf numFmtId="164" fontId="21" fillId="0" borderId="0" applyAlignment="1" pivotButton="0" quotePrefix="0" xfId="0">
      <alignment vertical="center"/>
    </xf>
    <xf numFmtId="168" fontId="31" fillId="0" borderId="17" applyAlignment="1" pivotButton="0" quotePrefix="0" xfId="0">
      <alignment horizontal="center" vertical="center"/>
    </xf>
    <xf numFmtId="168" fontId="31" fillId="0" borderId="28" applyAlignment="1" pivotButton="0" quotePrefix="0" xfId="0">
      <alignment horizontal="center" vertical="center"/>
    </xf>
    <xf numFmtId="167" fontId="25" fillId="24" borderId="34" applyAlignment="1" applyProtection="1" pivotButton="0" quotePrefix="0" xfId="0">
      <alignment horizontal="center" vertical="center" shrinkToFit="1"/>
      <protection locked="0" hidden="0"/>
    </xf>
    <xf numFmtId="0" fontId="0" fillId="0" borderId="44" pivotButton="0" quotePrefix="0" xfId="0"/>
    <xf numFmtId="167" fontId="21" fillId="26" borderId="35" applyAlignment="1" pivotButton="0" quotePrefix="0" xfId="0">
      <alignment vertical="center" shrinkToFit="1"/>
    </xf>
    <xf numFmtId="0" fontId="37" fillId="0" borderId="21" applyAlignment="1" pivotButton="0" quotePrefix="0" xfId="0">
      <alignment horizontal="center" vertical="center" shrinkToFit="1"/>
    </xf>
    <xf numFmtId="166" fontId="21" fillId="0" borderId="0" applyAlignment="1" pivotButton="0" quotePrefix="0" xfId="0">
      <alignment vertical="center"/>
    </xf>
    <xf numFmtId="165" fontId="33" fillId="26" borderId="14" applyAlignment="1" pivotButton="0" quotePrefix="0" xfId="34">
      <alignment horizontal="right" vertical="center"/>
    </xf>
    <xf numFmtId="165" fontId="26" fillId="0" borderId="12" applyAlignment="1" pivotButton="0" quotePrefix="0" xfId="33">
      <alignment vertical="center"/>
    </xf>
    <xf numFmtId="165" fontId="26" fillId="0" borderId="0" applyAlignment="1" pivotButton="0" quotePrefix="0" xfId="33">
      <alignment vertical="center"/>
    </xf>
    <xf numFmtId="0" fontId="34" fillId="0" borderId="21" applyAlignment="1" pivotButton="0" quotePrefix="0" xfId="0">
      <alignment horizontal="center" vertical="center" wrapText="1"/>
    </xf>
    <xf numFmtId="0" fontId="0" fillId="0" borderId="11" pivotButton="0" quotePrefix="0" xfId="0"/>
    <xf numFmtId="0" fontId="0" fillId="0" borderId="22" pivotButton="0" quotePrefix="0" xfId="0"/>
    <xf numFmtId="0" fontId="32" fillId="0" borderId="21" applyAlignment="1" pivotButton="0" quotePrefix="0" xfId="0">
      <alignment horizontal="center" vertical="center"/>
    </xf>
    <xf numFmtId="0" fontId="0" fillId="0" borderId="24" pivotButton="0" quotePrefix="0" xfId="0"/>
    <xf numFmtId="164" fontId="27" fillId="25" borderId="21" applyAlignment="1" pivotButton="0" quotePrefix="0" xfId="0">
      <alignment horizontal="center" vertical="center" shrinkToFit="1"/>
    </xf>
    <xf numFmtId="164" fontId="27" fillId="25" borderId="21" applyAlignment="1" pivotButton="0" quotePrefix="0" xfId="0">
      <alignment horizontal="center"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167" fontId="25" fillId="24" borderId="14" applyAlignment="1" applyProtection="1" pivotButton="0" quotePrefix="0" xfId="0">
      <alignment horizontal="center" vertical="center" shrinkToFit="1"/>
      <protection locked="0" hidden="0"/>
    </xf>
    <xf numFmtId="168" fontId="31" fillId="0" borderId="12" applyAlignment="1" pivotButton="0" quotePrefix="0" xfId="0">
      <alignment horizontal="center" vertical="center"/>
    </xf>
  </cellXfs>
  <cellStyles count="44">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桁区切り" xfId="33" builtinId="6"/>
    <cellStyle name="桁区切り 2" xfId="34"/>
    <cellStyle name="見出し 1" xfId="35" builtinId="16"/>
    <cellStyle name="見出し 2" xfId="36" builtinId="17"/>
    <cellStyle name="見出し 3" xfId="37" builtinId="18"/>
    <cellStyle name="見出し 4" xfId="38" builtinId="19"/>
    <cellStyle name="集計" xfId="39" builtinId="25"/>
    <cellStyle name="出力" xfId="40" builtinId="21"/>
    <cellStyle name="説明文" xfId="41" builtinId="53"/>
    <cellStyle name="入力" xfId="42" builtinId="20"/>
    <cellStyle name="良い" xfId="43" builtinId="26"/>
  </cellStyles>
  <dxfs count="29">
    <dxf>
      <font>
        <b val="1"/>
        <color rgb="FFC00000"/>
      </font>
    </dxf>
    <dxf>
      <font>
        <color rgb="FF9C0006"/>
      </font>
      <fill>
        <patternFill>
          <bgColor rgb="FFFFC7CE"/>
        </patternFill>
      </fill>
    </dxf>
    <dxf>
      <font>
        <name val="ＭＳ Ｐゴシック"/>
        <b val="1"/>
        <color rgb="FF9C0006"/>
      </font>
      <fill>
        <patternFill>
          <bgColor rgb="FFFFC7CE"/>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color rgb="FF9C0006"/>
      </font>
      <fill>
        <patternFill>
          <bgColor rgb="FFFFC7CE"/>
        </patternFill>
      </fill>
    </dxf>
    <dxf>
      <font>
        <name val="ＭＳ Ｐゴシック"/>
        <b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oitapref</author>
  </authors>
  <commentList>
    <comment ref="D12" authorId="0" shapeId="0">
      <text>
        <t xml:space="preserve">「利用確認」欄に○が一つもない場合は「支給される特別料金等の額」欄が0円になります。
</t>
      </text>
    </comment>
    <comment ref="E12" authorId="0" shapeId="0">
      <text>
        <t>・「利用金額」欄には片道料金（割引前）より大きい金額は入力しないでください。
（「確認」欄に×が表示されます。×が出た場合には見直しをしてください）
・割引やマイレージ還元を反映した最終的な利用金額を入力してください。</t>
      </text>
    </comment>
    <comment ref="E32" authorId="0" shapeId="0">
      <text>
        <t>特別料金等加算額よりも大きい場合、「要確認」と表示されます。
必ずしも間違いではありませんが、
一度ご確認ください。</t>
      </text>
    </comment>
    <comment ref="J32" authorId="0" shapeId="0">
      <text>
        <t xml:space="preserve">「実際に支給される特別料金等の額」欄は「１ヶ月の特別料金等加算額」を
超えた場合、赤く表示されます。
必ずしも間違いではありませんが、一度ご確認ください。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Z70"/>
  <sheetViews>
    <sheetView tabSelected="1" view="pageBreakPreview" zoomScaleNormal="100" zoomScaleSheetLayoutView="100" workbookViewId="0">
      <selection activeCell="C3" sqref="C3:H3"/>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伊藤大貴</t>
        </is>
      </c>
      <c r="O3" s="161" t="n"/>
      <c r="P3" s="161" t="n"/>
      <c r="Q3" s="161" t="n"/>
      <c r="R3" s="63" t="n"/>
      <c r="S3" s="5" t="n"/>
    </row>
    <row r="4" ht="8.25" customHeight="1" s="159">
      <c r="A4" s="61" t="n"/>
      <c r="S4" s="61" t="n"/>
    </row>
    <row r="5" ht="24" customHeight="1" s="159">
      <c r="A5" s="85" t="inlineStr">
        <is>
          <t>令和</t>
        </is>
      </c>
      <c r="B5" s="158" t="n">
        <v>7</v>
      </c>
      <c r="C5" s="64" t="inlineStr">
        <is>
          <t>年</t>
        </is>
      </c>
      <c r="D5" s="158" t="n">
        <v>5</v>
      </c>
      <c r="E5" s="64" t="inlineStr">
        <is>
          <t>月分</t>
        </is>
      </c>
      <c r="J5" s="162" t="inlineStr">
        <is>
          <t>高速道路利用区間</t>
        </is>
      </c>
      <c r="K5" s="163" t="n"/>
      <c r="L5" s="164" t="n"/>
      <c r="M5" s="153" t="inlineStr">
        <is>
          <t>大分米良</t>
        </is>
      </c>
      <c r="N5" s="165" t="n"/>
      <c r="O5" s="9" t="inlineStr">
        <is>
          <t>～</t>
        </is>
      </c>
      <c r="P5" s="155" t="inlineStr">
        <is>
          <t>日田</t>
        </is>
      </c>
      <c r="Q5" s="166" t="n"/>
      <c r="R5" s="62" t="n"/>
      <c r="S5" s="10" t="n"/>
    </row>
    <row r="6" ht="24" customHeight="1" s="159">
      <c r="A6" s="64" t="n"/>
      <c r="B6" s="63" t="n"/>
      <c r="C6" s="64" t="n"/>
      <c r="D6" s="63" t="n"/>
      <c r="E6" s="64" t="n"/>
      <c r="J6" s="167" t="inlineStr">
        <is>
          <t>利用区間の片道料金
（割引前）</t>
        </is>
      </c>
      <c r="K6" s="163" t="n"/>
      <c r="L6" s="164" t="n"/>
      <c r="M6" s="133" t="n">
        <v>2680</v>
      </c>
      <c r="N6" s="165" t="n"/>
      <c r="O6" s="165" t="n"/>
      <c r="P6" s="165" t="n"/>
      <c r="Q6" s="152" t="inlineStr">
        <is>
          <t>円</t>
        </is>
      </c>
      <c r="R6" s="61" t="n"/>
      <c r="S6" s="10" t="n"/>
    </row>
    <row r="7" ht="24" customHeight="1" s="159">
      <c r="A7" s="61" t="n"/>
      <c r="B7" s="11" t="n"/>
      <c r="C7" s="12" t="n"/>
      <c r="D7" s="168" t="n"/>
      <c r="E7" s="12" t="n"/>
      <c r="F7" s="168" t="n"/>
      <c r="J7" s="169" t="inlineStr">
        <is>
          <t>１ヶ月の特別料金等加算額（認定額）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inlineStr">
        <is>
          <t>○</t>
        </is>
      </c>
      <c r="E13" s="179" t="n">
        <v>2680</v>
      </c>
      <c r="F13" s="68">
        <f>IF(E13&gt;$M$6,"×","")</f>
        <v/>
      </c>
      <c r="G13" s="19" t="inlineStr">
        <is>
          <t>○</t>
        </is>
      </c>
      <c r="H13" s="179" t="n">
        <v>2680</v>
      </c>
      <c r="I13" s="70">
        <f>IF(H13&gt;$M$6,"×","")</f>
        <v/>
      </c>
      <c r="J13" s="178">
        <f>IF(B27=$E$57,"-",IF(B27="-","-",B27+1))</f>
        <v/>
      </c>
      <c r="K13" s="91">
        <f>IF(J13="-","-",TEXT(WEEKDAY(J13),"aaa"))</f>
        <v/>
      </c>
      <c r="L13" s="19" t="inlineStr">
        <is>
          <t>○</t>
        </is>
      </c>
      <c r="M13" s="179" t="n">
        <v>2680</v>
      </c>
      <c r="N13" s="68">
        <f>IF(M13&gt;$M$6,"×","")</f>
        <v/>
      </c>
      <c r="O13" s="19" t="inlineStr">
        <is>
          <t>○</t>
        </is>
      </c>
      <c r="P13" s="179" t="n">
        <v>2680</v>
      </c>
      <c r="Q13" s="74">
        <f>IF(P13&gt;$M$6,"×","")</f>
        <v/>
      </c>
    </row>
    <row r="14" ht="21" customHeight="1" s="159">
      <c r="A14" s="20" t="n"/>
      <c r="B14" s="178">
        <f>IF(B13=$E$57,"-",IF(B13="-","-",B13+1))</f>
        <v/>
      </c>
      <c r="C14" s="91">
        <f>IF(B14="-","-",TEXT(WEEKDAY(B14),"aaa"))</f>
        <v/>
      </c>
      <c r="D14" s="19" t="inlineStr">
        <is>
          <t>○</t>
        </is>
      </c>
      <c r="E14" s="179" t="n">
        <v>2680</v>
      </c>
      <c r="F14" s="68">
        <f>IF(E14&gt;$M$6,"×","")</f>
        <v/>
      </c>
      <c r="G14" s="19" t="inlineStr">
        <is>
          <t>○</t>
        </is>
      </c>
      <c r="H14" s="179" t="n">
        <v>2680</v>
      </c>
      <c r="I14" s="70">
        <f>IF(H14&gt;$M$6,"×","")</f>
        <v/>
      </c>
      <c r="J14" s="178">
        <f>IF(J13=$E$57,"-",IF(J13="-","-",J13+1))</f>
        <v/>
      </c>
      <c r="K14" s="91">
        <f>IF(J14="-","-",TEXT(WEEKDAY(J14),"aaa"))</f>
        <v/>
      </c>
      <c r="L14" s="19" t="inlineStr">
        <is>
          <t>○</t>
        </is>
      </c>
      <c r="M14" s="179" t="n">
        <v>1880</v>
      </c>
      <c r="N14" s="68">
        <f>IF(M14&gt;$M$6,"×","")</f>
        <v/>
      </c>
      <c r="O14" s="19" t="inlineStr">
        <is>
          <t>○</t>
        </is>
      </c>
      <c r="P14" s="179" t="n">
        <v>1880</v>
      </c>
      <c r="Q14" s="70">
        <f>IF(P14&gt;$M$6,"×","")</f>
        <v/>
      </c>
    </row>
    <row r="15" ht="21" customHeight="1" s="159">
      <c r="A15" s="20" t="n"/>
      <c r="B15" s="178">
        <f>IF(B14=$E$57,"-",IF(B14="-","-",B14+1))</f>
        <v/>
      </c>
      <c r="C15" s="91">
        <f>IF(B15="-","-",TEXT(WEEKDAY(B15),"aaa"))</f>
        <v/>
      </c>
      <c r="D15" s="19" t="n"/>
      <c r="E15" s="179" t="n"/>
      <c r="F15" s="68">
        <f>IF(E15&gt;$M$6,"×","")</f>
        <v/>
      </c>
      <c r="G15" s="19" t="n"/>
      <c r="H15" s="179" t="n"/>
      <c r="I15" s="70">
        <f>IF(H15&gt;$M$6,"×","")</f>
        <v/>
      </c>
      <c r="J15" s="178">
        <f>IF(J14=$E$57,"-",IF(J14="-","-",J14+1))</f>
        <v/>
      </c>
      <c r="K15" s="91">
        <f>IF(J15="-","-",TEXT(WEEKDAY(J15),"aaa"))</f>
        <v/>
      </c>
      <c r="L15" s="19" t="n"/>
      <c r="M15" s="179" t="n"/>
      <c r="N15" s="68">
        <f>IF(M15&gt;$M$6,"×","")</f>
        <v/>
      </c>
      <c r="O15" s="19" t="n"/>
      <c r="P15" s="179" t="n"/>
      <c r="Q15" s="70">
        <f>IF(P15&gt;$M$6,"×","")</f>
        <v/>
      </c>
    </row>
    <row r="16" ht="21" customHeight="1" s="159">
      <c r="A16" s="20" t="n"/>
      <c r="B16" s="178">
        <f>IF(B15=$E$57,"-",IF(B15="-","-",B15+1))</f>
        <v/>
      </c>
      <c r="C16" s="91">
        <f>IF(B16="-","-",TEXT(WEEKDAY(B16),"aaa"))</f>
        <v/>
      </c>
      <c r="D16" s="19" t="n"/>
      <c r="E16" s="179" t="n"/>
      <c r="F16" s="68">
        <f>IF(E16&gt;$M$6,"×","")</f>
        <v/>
      </c>
      <c r="G16" s="19" t="n"/>
      <c r="H16" s="179" t="n"/>
      <c r="I16" s="71">
        <f>IF(H16&gt;$M$6,"×","")</f>
        <v/>
      </c>
      <c r="J16" s="178">
        <f>IF(J15=$E$57,"-",IF(J15="-","-",J15+1))</f>
        <v/>
      </c>
      <c r="K16" s="91">
        <f>IF(J16="-","-",TEXT(WEEKDAY(J16),"aaa"))</f>
        <v/>
      </c>
      <c r="L16" s="19" t="inlineStr">
        <is>
          <t>○</t>
        </is>
      </c>
      <c r="M16" s="179" t="n">
        <v>2680</v>
      </c>
      <c r="N16" s="68">
        <f>IF(M16&gt;$M$6,"×","")</f>
        <v/>
      </c>
      <c r="O16" s="19" t="inlineStr">
        <is>
          <t>○</t>
        </is>
      </c>
      <c r="P16" s="179" t="n">
        <v>2680</v>
      </c>
      <c r="Q16" s="70">
        <f>IF(P16&gt;$M$6,"×","")</f>
        <v/>
      </c>
      <c r="Y16" s="180" t="n"/>
    </row>
    <row r="17" ht="21" customHeight="1" s="159">
      <c r="A17" s="20" t="n"/>
      <c r="B17" s="178">
        <f>IF(B16=$E$57,"-",IF(B16="-","-",B16+1))</f>
        <v/>
      </c>
      <c r="C17" s="91">
        <f>IF(B17="-","-",TEXT(WEEKDAY(B17),"aaa"))</f>
        <v/>
      </c>
      <c r="D17" s="19" t="n"/>
      <c r="E17" s="179" t="n"/>
      <c r="F17" s="68">
        <f>IF(E17&gt;$M$6,"×","")</f>
        <v/>
      </c>
      <c r="G17" s="19" t="n"/>
      <c r="H17" s="179" t="n"/>
      <c r="I17" s="71">
        <f>IF(H17&gt;$M$6,"×","")</f>
        <v/>
      </c>
      <c r="J17" s="178">
        <f>IF(J16=$E$57,"-",IF(J16="-","-",J16+1))</f>
        <v/>
      </c>
      <c r="K17" s="91">
        <f>IF(J17="-","-",TEXT(WEEKDAY(J17),"aaa"))</f>
        <v/>
      </c>
      <c r="L17" s="21" t="inlineStr">
        <is>
          <t>○</t>
        </is>
      </c>
      <c r="M17" s="179" t="n">
        <v>2680</v>
      </c>
      <c r="N17" s="68">
        <f>IF(M17&gt;$M$6,"×","")</f>
        <v/>
      </c>
      <c r="O17" s="21" t="inlineStr">
        <is>
          <t>○</t>
        </is>
      </c>
      <c r="P17" s="179" t="n">
        <v>2680</v>
      </c>
      <c r="Q17" s="70">
        <f>IF(P17&gt;$M$6,"×","")</f>
        <v/>
      </c>
    </row>
    <row r="18" ht="21" customHeight="1" s="159">
      <c r="A18" s="20" t="n"/>
      <c r="B18" s="178">
        <f>IF(B17=$E$57,"-",IF(B17="-","-",B17+1))</f>
        <v/>
      </c>
      <c r="C18" s="91">
        <f>IF(B18="-","-",TEXT(WEEKDAY(B18),"aaa"))</f>
        <v/>
      </c>
      <c r="D18" s="19" t="inlineStr">
        <is>
          <t>○</t>
        </is>
      </c>
      <c r="E18" s="179" t="n">
        <v>3960</v>
      </c>
      <c r="F18" s="68">
        <f>IF(E18&gt;$M$6,"×","")</f>
        <v/>
      </c>
      <c r="G18" s="21" t="inlineStr">
        <is>
          <t>○</t>
        </is>
      </c>
      <c r="H18" s="179" t="n">
        <v>4060</v>
      </c>
      <c r="I18" s="71">
        <f>IF(H18&gt;$M$6,"×","")</f>
        <v/>
      </c>
      <c r="J18" s="178">
        <f>IF(J17=$E$57,"-",IF(J17="-","-",J17+1))</f>
        <v/>
      </c>
      <c r="K18" s="91">
        <f>IF(J18="-","-",TEXT(WEEKDAY(J18),"aaa"))</f>
        <v/>
      </c>
      <c r="L18" s="19" t="inlineStr">
        <is>
          <t>○</t>
        </is>
      </c>
      <c r="M18" s="179" t="n">
        <v>2680</v>
      </c>
      <c r="N18" s="68">
        <f>IF(M18&gt;$M$6,"×","")</f>
        <v/>
      </c>
      <c r="O18" s="19" t="inlineStr">
        <is>
          <t>○</t>
        </is>
      </c>
      <c r="P18" s="179" t="n">
        <v>1420</v>
      </c>
      <c r="Q18" s="70">
        <f>IF(P18&gt;$M$6,"×","")</f>
        <v/>
      </c>
    </row>
    <row r="19" ht="21" customHeight="1" s="159">
      <c r="A19" s="20" t="n"/>
      <c r="B19" s="178">
        <f>IF(B18=$E$57,"-",IF(B18="-","-",B18+1))</f>
        <v/>
      </c>
      <c r="C19" s="91">
        <f>IF(B19="-","-",TEXT(WEEKDAY(B19),"aaa"))</f>
        <v/>
      </c>
      <c r="D19" s="19" t="inlineStr">
        <is>
          <t>○</t>
        </is>
      </c>
      <c r="E19" s="179" t="n">
        <v>2680</v>
      </c>
      <c r="F19" s="68">
        <f>IF(E19&gt;$M$6,"×","")</f>
        <v/>
      </c>
      <c r="G19" s="19" t="inlineStr">
        <is>
          <t>○</t>
        </is>
      </c>
      <c r="H19" s="179" t="n">
        <v>2590</v>
      </c>
      <c r="I19" s="71">
        <f>IF(H19&gt;$M$6,"×","")</f>
        <v/>
      </c>
      <c r="J19" s="178">
        <f>IF(J18=$E$57,"-",IF(J18="-","-",J18+1))</f>
        <v/>
      </c>
      <c r="K19" s="91">
        <f>IF(J19="-","-",TEXT(WEEKDAY(J19),"aaa"))</f>
        <v/>
      </c>
      <c r="L19" s="19" t="inlineStr">
        <is>
          <t>○</t>
        </is>
      </c>
      <c r="M19" s="179" t="n">
        <v>2680</v>
      </c>
      <c r="N19" s="68">
        <f>IF(M19&gt;$M$6,"×","")</f>
        <v/>
      </c>
      <c r="O19" s="19" t="inlineStr">
        <is>
          <t>○</t>
        </is>
      </c>
      <c r="P19" s="179" t="n">
        <v>2680</v>
      </c>
      <c r="Q19" s="70">
        <f>IF(P19&gt;$M$6,"×","")</f>
        <v/>
      </c>
    </row>
    <row r="20" ht="21" customHeight="1" s="159">
      <c r="A20" s="20" t="n"/>
      <c r="B20" s="178">
        <f>IF(B19=$E$57,"-",IF(B19="-","-",B19+1))</f>
        <v/>
      </c>
      <c r="C20" s="91">
        <f>IF(B20="-","-",TEXT(WEEKDAY(B20),"aaa"))</f>
        <v/>
      </c>
      <c r="D20" s="19" t="n"/>
      <c r="E20" s="179" t="n"/>
      <c r="F20" s="68">
        <f>IF(E20&gt;$M$6,"×","")</f>
        <v/>
      </c>
      <c r="G20" s="19" t="n"/>
      <c r="H20" s="179" t="n"/>
      <c r="I20" s="71">
        <f>IF(H20&gt;$M$6,"×","")</f>
        <v/>
      </c>
      <c r="J20" s="178">
        <f>IF(J19=$E$57,"-",IF(J19="-","-",J19+1))</f>
        <v/>
      </c>
      <c r="K20" s="91">
        <f>IF(J20="-","-",TEXT(WEEKDAY(J20),"aaa"))</f>
        <v/>
      </c>
      <c r="L20" s="19" t="inlineStr">
        <is>
          <t>○</t>
        </is>
      </c>
      <c r="M20" s="179" t="n">
        <v>2680</v>
      </c>
      <c r="N20" s="68">
        <f>IF(M20&gt;$M$6,"×","")</f>
        <v/>
      </c>
      <c r="O20" s="19" t="inlineStr">
        <is>
          <t>○</t>
        </is>
      </c>
      <c r="P20" s="179" t="n">
        <v>2680</v>
      </c>
      <c r="Q20" s="70">
        <f>IF(P20&gt;$M$6,"×","")</f>
        <v/>
      </c>
    </row>
    <row r="21" ht="21" customHeight="1" s="159">
      <c r="A21" s="20" t="n"/>
      <c r="B21" s="178">
        <f>IF(B20=$E$57,"-",IF(B20="-","-",B20+1))</f>
        <v/>
      </c>
      <c r="C21" s="91">
        <f>IF(B21="-","-",TEXT(WEEKDAY(B21),"aaa"))</f>
        <v/>
      </c>
      <c r="D21" s="19" t="n"/>
      <c r="E21" s="179" t="n"/>
      <c r="F21" s="68">
        <f>IF(E21&gt;$M$6,"×","")</f>
        <v/>
      </c>
      <c r="G21" s="19" t="n"/>
      <c r="H21" s="179" t="n"/>
      <c r="I21" s="71">
        <f>IF(H21&gt;$M$6,"×","")</f>
        <v/>
      </c>
      <c r="J21" s="178">
        <f>IF(J20=$E$57,"-",IF(J20="-","-",J20+1))</f>
        <v/>
      </c>
      <c r="K21" s="91">
        <f>IF(J21="-","-",TEXT(WEEKDAY(J21),"aaa"))</f>
        <v/>
      </c>
      <c r="L21" s="19" t="n"/>
      <c r="M21" s="179" t="n"/>
      <c r="N21" s="68">
        <f>IF(M21&gt;$M$6,"×","")</f>
        <v/>
      </c>
      <c r="O21" s="19" t="n"/>
      <c r="P21" s="179" t="n"/>
      <c r="Q21" s="70">
        <f>IF(P21&gt;$M$6,"×","")</f>
        <v/>
      </c>
    </row>
    <row r="22" ht="21" customHeight="1" s="159">
      <c r="A22" s="20" t="n"/>
      <c r="B22" s="178">
        <f>IF(B21=$E$57,"-",IF(B21="-","-",B21+1))</f>
        <v/>
      </c>
      <c r="C22" s="91">
        <f>IF(B22="-","-",TEXT(WEEKDAY(B22),"aaa"))</f>
        <v/>
      </c>
      <c r="D22" s="19" t="n"/>
      <c r="E22" s="179" t="n"/>
      <c r="F22" s="68">
        <f>IF(E22&gt;$M$6,"×","")</f>
        <v/>
      </c>
      <c r="G22" s="19" t="n"/>
      <c r="H22" s="179" t="n"/>
      <c r="I22" s="71">
        <f>IF(H22&gt;$M$6,"×","")</f>
        <v/>
      </c>
      <c r="J22" s="178">
        <f>IF(J21=$E$57,"-",IF(J21="-","-",J21+1))</f>
        <v/>
      </c>
      <c r="K22" s="91">
        <f>IF(J22="-","-",TEXT(WEEKDAY(J22),"aaa"))</f>
        <v/>
      </c>
      <c r="L22" s="19" t="n"/>
      <c r="M22" s="179" t="n"/>
      <c r="N22" s="68">
        <f>IF(M22&gt;$M$6,"×","")</f>
        <v/>
      </c>
      <c r="O22" s="19" t="n"/>
      <c r="P22" s="179" t="n"/>
      <c r="Q22" s="70">
        <f>IF(P22&gt;$M$6,"×","")</f>
        <v/>
      </c>
    </row>
    <row r="23" ht="21" customHeight="1" s="159">
      <c r="A23" s="20" t="n"/>
      <c r="B23" s="178">
        <f>IF(B22=$E$57,"-",IF(B22="-","-",B22+1))</f>
        <v/>
      </c>
      <c r="C23" s="91">
        <f>IF(B23="-","-",TEXT(WEEKDAY(B23),"aaa"))</f>
        <v/>
      </c>
      <c r="D23" s="19" t="n"/>
      <c r="E23" s="179" t="n"/>
      <c r="F23" s="68">
        <f>IF(E23&gt;$M$6,"×","")</f>
        <v/>
      </c>
      <c r="G23" s="19" t="n"/>
      <c r="H23" s="179" t="n"/>
      <c r="I23" s="71">
        <f>IF(H23&gt;$M$6,"×","")</f>
        <v/>
      </c>
      <c r="J23" s="178">
        <f>IF(J22=$E$57,"-",IF(J22="-","-",J22+1))</f>
        <v/>
      </c>
      <c r="K23" s="91">
        <f>IF(J23="-","-",TEXT(WEEKDAY(J23),"aaa"))</f>
        <v/>
      </c>
      <c r="L23" s="21" t="inlineStr">
        <is>
          <t>○</t>
        </is>
      </c>
      <c r="M23" s="179" t="n">
        <v>2680</v>
      </c>
      <c r="N23" s="68">
        <f>IF(M23&gt;$M$6,"×","")</f>
        <v/>
      </c>
      <c r="O23" s="21" t="inlineStr">
        <is>
          <t>○</t>
        </is>
      </c>
      <c r="P23" s="179" t="n">
        <v>2680</v>
      </c>
      <c r="Q23" s="70">
        <f>IF(P23&gt;$M$6,"×","")</f>
        <v/>
      </c>
    </row>
    <row r="24" ht="21" customHeight="1" s="159">
      <c r="A24" s="20" t="n"/>
      <c r="B24" s="178">
        <f>IF(B23=$E$57,"-",IF(B23="-","-",B23+1))</f>
        <v/>
      </c>
      <c r="C24" s="91">
        <f>IF(B24="-","-",TEXT(WEEKDAY(B24),"aaa"))</f>
        <v/>
      </c>
      <c r="D24" s="19" t="inlineStr">
        <is>
          <t>○</t>
        </is>
      </c>
      <c r="E24" s="179" t="n">
        <v>2680</v>
      </c>
      <c r="F24" s="68">
        <f>IF(E24&gt;$M$6,"×","")</f>
        <v/>
      </c>
      <c r="G24" s="19" t="inlineStr">
        <is>
          <t>○</t>
        </is>
      </c>
      <c r="H24" s="179" t="n">
        <v>2680</v>
      </c>
      <c r="I24" s="71">
        <f>IF(H24&gt;$M$6,"×","")</f>
        <v/>
      </c>
      <c r="J24" s="178">
        <f>IF(J23=$E$57,"-",IF(J23="-","-",J23+1))</f>
        <v/>
      </c>
      <c r="K24" s="91">
        <f>IF(J24="-","-",TEXT(WEEKDAY(J24),"aaa"))</f>
        <v/>
      </c>
      <c r="L24" s="21" t="inlineStr">
        <is>
          <t>○</t>
        </is>
      </c>
      <c r="M24" s="179" t="n">
        <v>2680</v>
      </c>
      <c r="N24" s="68">
        <f>IF(M24&gt;$M$6,"×","")</f>
        <v/>
      </c>
      <c r="O24" s="21" t="inlineStr">
        <is>
          <t>○</t>
        </is>
      </c>
      <c r="P24" s="179" t="n">
        <v>2680</v>
      </c>
      <c r="Q24" s="70">
        <f>IF(P24&gt;$M$6,"×","")</f>
        <v/>
      </c>
    </row>
    <row r="25" ht="21" customHeight="1" s="159">
      <c r="A25" s="20" t="n"/>
      <c r="B25" s="178">
        <f>IF(B24=$E$57,"-",IF(B24="-","-",B24+1))</f>
        <v/>
      </c>
      <c r="C25" s="91">
        <f>IF(B25="-","-",TEXT(WEEKDAY(B25),"aaa"))</f>
        <v/>
      </c>
      <c r="D25" s="19" t="inlineStr">
        <is>
          <t>○</t>
        </is>
      </c>
      <c r="E25" s="179" t="n">
        <v>2680</v>
      </c>
      <c r="F25" s="68">
        <f>IF(E25&gt;$M$6,"×","")</f>
        <v/>
      </c>
      <c r="G25" s="19" t="inlineStr">
        <is>
          <t>○</t>
        </is>
      </c>
      <c r="H25" s="179" t="n">
        <v>2680</v>
      </c>
      <c r="I25" s="71">
        <f>IF(H25&gt;$M$6,"×","")</f>
        <v/>
      </c>
      <c r="J25" s="178">
        <f>IF(J24=$E$57,"-",IF(J24="-","-",J24+1))</f>
        <v/>
      </c>
      <c r="K25" s="91">
        <f>IF(J25="-","-",TEXT(WEEKDAY(J25),"aaa"))</f>
        <v/>
      </c>
      <c r="L25" s="19" t="inlineStr">
        <is>
          <t>○</t>
        </is>
      </c>
      <c r="M25" s="179" t="n">
        <v>2680</v>
      </c>
      <c r="N25" s="68">
        <f>IF(M25&gt;$M$6,"×","")</f>
        <v/>
      </c>
      <c r="O25" s="19" t="inlineStr">
        <is>
          <t>○</t>
        </is>
      </c>
      <c r="P25" s="179" t="n">
        <v>2680</v>
      </c>
      <c r="Q25" s="70">
        <f>IF(P25&gt;$M$6,"×","")</f>
        <v/>
      </c>
    </row>
    <row r="26" ht="21" customHeight="1" s="159">
      <c r="A26" s="20" t="n"/>
      <c r="B26" s="178">
        <f>IF(B25=$E$57,"-",IF(B25="-","-",B25+1))</f>
        <v/>
      </c>
      <c r="C26" s="91">
        <f>IF(B26="-","-",TEXT(WEEKDAY(B26),"aaa"))</f>
        <v/>
      </c>
      <c r="D26" s="19" t="inlineStr">
        <is>
          <t>○</t>
        </is>
      </c>
      <c r="E26" s="179" t="n">
        <v>2680</v>
      </c>
      <c r="F26" s="68">
        <f>IF(E26&gt;$M$6,"×","")</f>
        <v/>
      </c>
      <c r="G26" s="19" t="inlineStr">
        <is>
          <t>○</t>
        </is>
      </c>
      <c r="H26" s="179" t="n">
        <v>2680</v>
      </c>
      <c r="I26" s="71">
        <f>IF(H26&gt;$M$6,"×","")</f>
        <v/>
      </c>
      <c r="J26" s="178">
        <f>IF(J25=$E$57,"-",IF(J25="-","-",J25+1))</f>
        <v/>
      </c>
      <c r="K26" s="91">
        <f>IF(J26="-","-",TEXT(WEEKDAY(J26),"aaa"))</f>
        <v/>
      </c>
      <c r="L26" s="19" t="inlineStr">
        <is>
          <t>○</t>
        </is>
      </c>
      <c r="M26" s="179" t="n">
        <v>2680</v>
      </c>
      <c r="N26" s="68">
        <f>IF(M26&gt;$M$6,"×","")</f>
        <v/>
      </c>
      <c r="O26" s="19" t="inlineStr">
        <is>
          <t>○</t>
        </is>
      </c>
      <c r="P26" s="179" t="n">
        <v>2680</v>
      </c>
      <c r="Q26" s="70">
        <f>IF(P26&gt;$M$6,"×","")</f>
        <v/>
      </c>
    </row>
    <row r="27" ht="21" customHeight="1" s="159" thickBot="1">
      <c r="A27" s="20" t="n"/>
      <c r="B27" s="181">
        <f>IF(B26=$E$57,"-",IF(B26="-","-",B26+1))</f>
        <v/>
      </c>
      <c r="C27" s="93">
        <f>IF(B27="-","-",TEXT(WEEKDAY(B27),"aaa"))</f>
        <v/>
      </c>
      <c r="D27" s="19" t="inlineStr">
        <is>
          <t>○</t>
        </is>
      </c>
      <c r="E27" s="179" t="n">
        <v>2680</v>
      </c>
      <c r="F27" s="69">
        <f>IF(E27&gt;$M$6,"×","")</f>
        <v/>
      </c>
      <c r="G27" s="19" t="inlineStr">
        <is>
          <t>○</t>
        </is>
      </c>
      <c r="H27" s="179" t="n">
        <v>2680</v>
      </c>
      <c r="I27" s="72">
        <f>IF(H27&gt;$M$6,"×","")</f>
        <v/>
      </c>
      <c r="J27" s="181">
        <f>IF(J26=$E$57,"-",IF(J26="-","-",J26+1))</f>
        <v/>
      </c>
      <c r="K27" s="93">
        <f>IF(J27="-","-",TEXT(WEEKDAY(J27),"aaa"))</f>
        <v/>
      </c>
      <c r="L27" s="19" t="inlineStr">
        <is>
          <t>○</t>
        </is>
      </c>
      <c r="M27" s="179" t="n">
        <v>2680</v>
      </c>
      <c r="N27" s="68">
        <f>IF(M27&gt;$M$6,"×","")</f>
        <v/>
      </c>
      <c r="O27" s="19" t="inlineStr">
        <is>
          <t>○</t>
        </is>
      </c>
      <c r="P27" s="179" t="n">
        <v>2680</v>
      </c>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n"/>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t="n">
        <v>45778</v>
      </c>
      <c r="F56" s="164" t="n"/>
      <c r="G56" s="57" t="n"/>
      <c r="H56" s="61" t="n"/>
      <c r="I56" s="41" t="n"/>
      <c r="J56" s="38" t="n"/>
      <c r="K56" s="38" t="n"/>
      <c r="L56" s="41" t="n"/>
    </row>
    <row r="57" ht="16.5" customHeight="1" s="159">
      <c r="B57" s="42" t="n"/>
      <c r="C57" s="28" t="n">
        <v>9</v>
      </c>
      <c r="D57" s="28" t="inlineStr">
        <is>
          <t>末日</t>
        </is>
      </c>
      <c r="E57" s="197" t="n">
        <v>45808</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C11:C12"/>
    <mergeCell ref="O34:R34"/>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1" operator="containsText" dxfId="2" stopIfTrue="1" text="×">
      <formula>NOT(ISERROR(SEARCH("×",F13)))</formula>
    </cfRule>
  </conditionalFormatting>
  <conditionalFormatting sqref="J33:L33">
    <cfRule type="cellIs" priority="30" operator="greaterThan" dxfId="1" stopIfTrue="1">
      <formula>$M$7</formula>
    </cfRule>
  </conditionalFormatting>
  <conditionalFormatting sqref="D13:D19 D24:D26 G18 L28 O28">
    <cfRule type="cellIs" priority="29" operator="notEqual" dxfId="0">
      <formula>"〇"</formula>
    </cfRule>
  </conditionalFormatting>
  <conditionalFormatting sqref="G13:G17">
    <cfRule type="cellIs" priority="28" operator="notEqual" dxfId="0">
      <formula>"〇"</formula>
    </cfRule>
  </conditionalFormatting>
  <conditionalFormatting sqref="D19:D24">
    <cfRule type="cellIs" priority="27" operator="notEqual" dxfId="0">
      <formula>"〇"</formula>
    </cfRule>
  </conditionalFormatting>
  <conditionalFormatting sqref="D27">
    <cfRule type="cellIs" priority="25" operator="notEqual" dxfId="0">
      <formula>"〇"</formula>
    </cfRule>
  </conditionalFormatting>
  <conditionalFormatting sqref="L17:L18 L23:L25">
    <cfRule type="cellIs" priority="23" operator="notEqual" dxfId="0">
      <formula>"〇"</formula>
    </cfRule>
  </conditionalFormatting>
  <conditionalFormatting sqref="L13:L16">
    <cfRule type="cellIs" priority="22" operator="notEqual" dxfId="0">
      <formula>"〇"</formula>
    </cfRule>
  </conditionalFormatting>
  <conditionalFormatting sqref="L18:L23">
    <cfRule type="cellIs" priority="21" operator="notEqual" dxfId="0">
      <formula>"〇"</formula>
    </cfRule>
  </conditionalFormatting>
  <conditionalFormatting sqref="L26">
    <cfRule type="cellIs" priority="20" operator="notEqual" dxfId="0">
      <formula>"〇"</formula>
    </cfRule>
    <cfRule type="cellIs" priority="7" operator="notEqual" dxfId="0">
      <formula>"〇"</formula>
    </cfRule>
  </conditionalFormatting>
  <conditionalFormatting sqref="L27">
    <cfRule type="cellIs" priority="19" operator="notEqual" dxfId="0">
      <formula>"〇"</formula>
    </cfRule>
  </conditionalFormatting>
  <conditionalFormatting sqref="O17">
    <cfRule type="cellIs" priority="18" operator="notEqual" dxfId="0">
      <formula>"〇"</formula>
    </cfRule>
  </conditionalFormatting>
  <conditionalFormatting sqref="O13:O16">
    <cfRule type="cellIs" priority="17" operator="notEqual" dxfId="0">
      <formula>"〇"</formula>
    </cfRule>
  </conditionalFormatting>
  <conditionalFormatting sqref="D26">
    <cfRule type="cellIs" priority="13" operator="notEqual" dxfId="0">
      <formula>"〇"</formula>
    </cfRule>
  </conditionalFormatting>
  <conditionalFormatting sqref="G19 G24:G26">
    <cfRule type="cellIs" priority="12" operator="notEqual" dxfId="0">
      <formula>"〇"</formula>
    </cfRule>
  </conditionalFormatting>
  <conditionalFormatting sqref="G19:G24">
    <cfRule type="cellIs" priority="11" operator="notEqual" dxfId="0">
      <formula>"〇"</formula>
    </cfRule>
  </conditionalFormatting>
  <conditionalFormatting sqref="G27">
    <cfRule type="cellIs" priority="10" operator="notEqual" dxfId="0">
      <formula>"〇"</formula>
    </cfRule>
  </conditionalFormatting>
  <conditionalFormatting sqref="G26">
    <cfRule type="cellIs" priority="9" operator="notEqual" dxfId="0">
      <formula>"〇"</formula>
    </cfRule>
  </conditionalFormatting>
  <conditionalFormatting sqref="L25">
    <cfRule type="cellIs" priority="8" operator="notEqual" dxfId="0">
      <formula>"〇"</formula>
    </cfRule>
  </conditionalFormatting>
  <conditionalFormatting sqref="O18 O23:O25">
    <cfRule type="cellIs" priority="6" operator="notEqual" dxfId="0">
      <formula>"〇"</formula>
    </cfRule>
  </conditionalFormatting>
  <conditionalFormatting sqref="O18:O23">
    <cfRule type="cellIs" priority="5" operator="notEqual" dxfId="0">
      <formula>"〇"</formula>
    </cfRule>
  </conditionalFormatting>
  <conditionalFormatting sqref="O26">
    <cfRule type="cellIs" priority="4" operator="notEqual" dxfId="0">
      <formula>"〇"</formula>
    </cfRule>
    <cfRule type="cellIs" priority="1" operator="notEqual" dxfId="0">
      <formula>"〇"</formula>
    </cfRule>
  </conditionalFormatting>
  <conditionalFormatting sqref="O27">
    <cfRule type="cellIs" priority="3" operator="notEqual" dxfId="0">
      <formula>"〇"</formula>
    </cfRule>
  </conditionalFormatting>
  <conditionalFormatting sqref="O25">
    <cfRule type="cellIs" priority="2" operator="notEqual" dxfId="0">
      <formula>"〇"</formula>
    </cfRule>
  </conditionalFormatting>
  <dataValidations count="3">
    <dataValidation sqref="D13:D27 G13:G27 L13:L28 O13:O28" showDropDown="0" showInputMessage="1" showErrorMessage="1" allowBlank="1" type="list">
      <formula1>$D$49:$D$55</formula1>
    </dataValidation>
    <dataValidation sqref="D5:D6" showDropDown="0" showInputMessage="1" showErrorMessage="1" allowBlank="1" type="list">
      <formula1>$C$49:$C$61</formula1>
    </dataValidation>
    <dataValidation sqref="B5:B6" showDropDown="0" showInputMessage="1" showErrorMessage="1" allowBlank="1" type="list">
      <formula1>$B$49:$B$55</formula1>
    </dataValidation>
  </dataValidations>
  <pageMargins left="0.7086614173228347" right="0.7086614173228347" top="0.7480314960629921" bottom="0.7480314960629921" header="0.3149606299212598" footer="0.3149606299212598"/>
  <pageSetup orientation="portrait" paperSize="9" scale="74" fitToHeight="0" cellComments="asDisplayed"/>
</worksheet>
</file>

<file path=xl/worksheets/sheet2.xml><?xml version="1.0" encoding="utf-8"?>
<worksheet xmlns="http://schemas.openxmlformats.org/spreadsheetml/2006/main">
  <sheetPr>
    <outlinePr summaryBelow="1" summaryRight="1"/>
    <pageSetUpPr fitToPage="1"/>
  </sheetPr>
  <dimension ref="A1:Z70"/>
  <sheetViews>
    <sheetView view="pageBreakPreview" topLeftCell="A4" zoomScaleNormal="100" zoomScaleSheetLayoutView="100" workbookViewId="0">
      <selection activeCell="K4" sqref="K4"/>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t>
        </is>
      </c>
      <c r="O3" s="161" t="n"/>
      <c r="P3" s="161" t="n"/>
      <c r="Q3" s="161" t="n"/>
      <c r="R3" s="63" t="n"/>
      <c r="S3" s="5" t="n"/>
    </row>
    <row r="4" ht="8.25" customHeight="1" s="159">
      <c r="A4" s="61" t="n"/>
      <c r="S4" s="61" t="n"/>
    </row>
    <row r="5" ht="24" customHeight="1" s="159">
      <c r="A5" s="85" t="inlineStr">
        <is>
          <t>令和</t>
        </is>
      </c>
      <c r="B5" s="158" t="n">
        <v>6</v>
      </c>
      <c r="C5" s="64" t="inlineStr">
        <is>
          <t>年</t>
        </is>
      </c>
      <c r="D5" s="158" t="n">
        <v>4</v>
      </c>
      <c r="E5" s="64" t="inlineStr">
        <is>
          <t>月分</t>
        </is>
      </c>
      <c r="J5" s="162" t="inlineStr">
        <is>
          <t>高速道路利用区間</t>
        </is>
      </c>
      <c r="K5" s="163" t="n"/>
      <c r="L5" s="164" t="n"/>
      <c r="M5" s="153" t="n"/>
      <c r="N5" s="165" t="n"/>
      <c r="O5" s="9" t="inlineStr">
        <is>
          <t>～</t>
        </is>
      </c>
      <c r="P5" s="155" t="n"/>
      <c r="Q5" s="166" t="n"/>
      <c r="R5" s="62" t="n"/>
      <c r="S5" s="10" t="n"/>
    </row>
    <row r="6" ht="24" customHeight="1" s="159">
      <c r="A6" s="64" t="n"/>
      <c r="B6" s="63" t="n"/>
      <c r="C6" s="64" t="n"/>
      <c r="D6" s="63" t="n"/>
      <c r="E6" s="64" t="n"/>
      <c r="J6" s="167" t="inlineStr">
        <is>
          <t>利用区間の片道料金
（割引前）</t>
        </is>
      </c>
      <c r="K6" s="163" t="n"/>
      <c r="L6" s="164" t="n"/>
      <c r="M6" s="133" t="n"/>
      <c r="N6" s="165" t="n"/>
      <c r="O6" s="165" t="n"/>
      <c r="P6" s="165" t="n"/>
      <c r="Q6" s="152" t="inlineStr">
        <is>
          <t>円</t>
        </is>
      </c>
      <c r="R6" s="61" t="n"/>
      <c r="S6" s="10" t="n"/>
    </row>
    <row r="7" ht="24" customHeight="1" s="159">
      <c r="A7" s="61" t="n"/>
      <c r="B7" s="11" t="n"/>
      <c r="C7" s="12" t="n"/>
      <c r="D7" s="168" t="n"/>
      <c r="E7" s="12" t="n"/>
      <c r="F7" s="168" t="n"/>
      <c r="J7" s="167" t="inlineStr">
        <is>
          <t>１ヶ月の特別料金等加算額
（認定額）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21" t="n"/>
      <c r="H13" s="200" t="n"/>
      <c r="I13" s="70">
        <f>IF(H13&gt;$M$6,"×","")</f>
        <v/>
      </c>
      <c r="J13" s="201">
        <f>IF(B27=$E$57,"-",IF(B27="-","-",B27+1))</f>
        <v/>
      </c>
      <c r="K13" s="87">
        <f>IF(J13="-","-",TEXT(WEEKDAY(J13),"aaa"))</f>
        <v/>
      </c>
      <c r="L13" s="19" t="n"/>
      <c r="M13" s="179" t="n"/>
      <c r="N13" s="68">
        <f>IF(M13&gt;$M$6,"×","")</f>
        <v/>
      </c>
      <c r="O13" s="21" t="n"/>
      <c r="P13" s="179" t="n"/>
      <c r="Q13" s="74">
        <f>IF(P13&gt;$M$6,"×","")</f>
        <v/>
      </c>
    </row>
    <row r="14" ht="21" customHeight="1" s="159">
      <c r="A14" s="20" t="n"/>
      <c r="B14" s="178">
        <f>IF(B13=$E$57,"-",IF(B13="-","-",B13+1))</f>
        <v/>
      </c>
      <c r="C14" s="91">
        <f>IF(B14="-","-",TEXT(WEEKDAY(B14),"aaa"))</f>
        <v/>
      </c>
      <c r="D14" s="19" t="n"/>
      <c r="E14" s="179" t="n"/>
      <c r="F14" s="68">
        <f>IF(E14&gt;$M$6,"×","")</f>
        <v/>
      </c>
      <c r="G14" s="21" t="n"/>
      <c r="H14" s="200" t="n"/>
      <c r="I14" s="70">
        <f>IF(H14&gt;$M$6,"×","")</f>
        <v/>
      </c>
      <c r="J14" s="201">
        <f>IF(J13=$E$57,"-",IF(J13="-","-",J13+1))</f>
        <v/>
      </c>
      <c r="K14" s="87">
        <f>IF(J14="-","-",TEXT(WEEKDAY(J14),"aaa"))</f>
        <v/>
      </c>
      <c r="L14" s="19" t="n"/>
      <c r="M14" s="179" t="n"/>
      <c r="N14" s="68">
        <f>IF(M14&gt;$M$6,"×","")</f>
        <v/>
      </c>
      <c r="O14" s="21" t="n"/>
      <c r="P14" s="179" t="n"/>
      <c r="Q14" s="70">
        <f>IF(P14&gt;$M$6,"×","")</f>
        <v/>
      </c>
    </row>
    <row r="15" ht="21" customHeight="1" s="159">
      <c r="A15" s="20" t="n"/>
      <c r="B15" s="178">
        <f>IF(B14=$E$57,"-",IF(B14="-","-",B14+1))</f>
        <v/>
      </c>
      <c r="C15" s="91">
        <f>IF(B15="-","-",TEXT(WEEKDAY(B15),"aaa"))</f>
        <v/>
      </c>
      <c r="D15" s="19" t="n"/>
      <c r="E15" s="179" t="n"/>
      <c r="F15" s="68">
        <f>IF(E15&gt;$M$6,"×","")</f>
        <v/>
      </c>
      <c r="G15" s="21" t="n"/>
      <c r="H15" s="200" t="n"/>
      <c r="I15" s="70">
        <f>IF(H15&gt;$M$6,"×","")</f>
        <v/>
      </c>
      <c r="J15" s="201">
        <f>IF(J14=$E$57,"-",IF(J14="-","-",J14+1))</f>
        <v/>
      </c>
      <c r="K15" s="87">
        <f>IF(J15="-","-",TEXT(WEEKDAY(J15),"aaa"))</f>
        <v/>
      </c>
      <c r="L15" s="19" t="n"/>
      <c r="M15" s="179" t="n"/>
      <c r="N15" s="68">
        <f>IF(M15&gt;$M$6,"×","")</f>
        <v/>
      </c>
      <c r="O15" s="21" t="n"/>
      <c r="P15" s="179" t="n"/>
      <c r="Q15" s="70">
        <f>IF(P15&gt;$M$6,"×","")</f>
        <v/>
      </c>
    </row>
    <row r="16" ht="21" customHeight="1" s="159">
      <c r="A16" s="20" t="n"/>
      <c r="B16" s="178">
        <f>IF(B15=$E$57,"-",IF(B15="-","-",B15+1))</f>
        <v/>
      </c>
      <c r="C16" s="91">
        <f>IF(B16="-","-",TEXT(WEEKDAY(B16),"aaa"))</f>
        <v/>
      </c>
      <c r="D16" s="19" t="n"/>
      <c r="E16" s="179" t="n"/>
      <c r="F16" s="68">
        <f>IF(E16&gt;$M$6,"×","")</f>
        <v/>
      </c>
      <c r="G16" s="21" t="n"/>
      <c r="H16" s="179" t="n"/>
      <c r="I16" s="71">
        <f>IF(H16&gt;$M$6,"×","")</f>
        <v/>
      </c>
      <c r="J16" s="201">
        <f>IF(J15=$E$57,"-",IF(J15="-","-",J15+1))</f>
        <v/>
      </c>
      <c r="K16" s="87">
        <f>IF(J16="-","-",TEXT(WEEKDAY(J16),"aaa"))</f>
        <v/>
      </c>
      <c r="L16" s="19" t="n"/>
      <c r="M16" s="179" t="n"/>
      <c r="N16" s="68">
        <f>IF(M16&gt;$M$6,"×","")</f>
        <v/>
      </c>
      <c r="O16" s="21" t="n"/>
      <c r="P16" s="179" t="n"/>
      <c r="Q16" s="70">
        <f>IF(P16&gt;$M$6,"×","")</f>
        <v/>
      </c>
      <c r="Y16" s="180" t="n"/>
    </row>
    <row r="17" ht="21" customHeight="1" s="159">
      <c r="A17" s="20" t="n"/>
      <c r="B17" s="178">
        <f>IF(B16=$E$57,"-",IF(B16="-","-",B16+1))</f>
        <v/>
      </c>
      <c r="C17" s="91">
        <f>IF(B17="-","-",TEXT(WEEKDAY(B17),"aaa"))</f>
        <v/>
      </c>
      <c r="D17" s="19" t="n"/>
      <c r="E17" s="179" t="n"/>
      <c r="F17" s="68">
        <f>IF(E17&gt;$M$6,"×","")</f>
        <v/>
      </c>
      <c r="G17" s="21" t="n"/>
      <c r="H17" s="179" t="n"/>
      <c r="I17" s="71">
        <f>IF(H17&gt;$M$6,"×","")</f>
        <v/>
      </c>
      <c r="J17" s="201">
        <f>IF(J16=$E$57,"-",IF(J16="-","-",J16+1))</f>
        <v/>
      </c>
      <c r="K17" s="87">
        <f>IF(J17="-","-",TEXT(WEEKDAY(J17),"aaa"))</f>
        <v/>
      </c>
      <c r="L17" s="19"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201">
        <f>IF(J17=$E$57,"-",IF(J17="-","-",J17+1))</f>
        <v/>
      </c>
      <c r="K18" s="87">
        <f>IF(J18="-","-",TEXT(WEEKDAY(J18),"aaa"))</f>
        <v/>
      </c>
      <c r="L18" s="19" t="n"/>
      <c r="M18" s="179" t="n"/>
      <c r="N18" s="68">
        <f>IF(M18&gt;$M$6,"×","")</f>
        <v/>
      </c>
      <c r="O18" s="21" t="n"/>
      <c r="P18" s="179" t="n"/>
      <c r="Q18" s="70">
        <f>IF(P18&gt;$M$6,"×","")</f>
        <v/>
      </c>
    </row>
    <row r="19" ht="21" customHeight="1" s="159">
      <c r="A19" s="20" t="n"/>
      <c r="B19" s="178">
        <f>IF(B18=$E$57,"-",IF(B18="-","-",B18+1))</f>
        <v/>
      </c>
      <c r="C19" s="91">
        <f>IF(B19="-","-",TEXT(WEEKDAY(B19),"aaa"))</f>
        <v/>
      </c>
      <c r="D19" s="19" t="n"/>
      <c r="E19" s="179" t="n"/>
      <c r="F19" s="68">
        <f>IF(E19&gt;$M$6,"×","")</f>
        <v/>
      </c>
      <c r="G19" s="21" t="n"/>
      <c r="H19" s="179" t="n"/>
      <c r="I19" s="71">
        <f>IF(H19&gt;$M$6,"×","")</f>
        <v/>
      </c>
      <c r="J19" s="201">
        <f>IF(J18=$E$57,"-",IF(J18="-","-",J18+1))</f>
        <v/>
      </c>
      <c r="K19" s="87">
        <f>IF(J19="-","-",TEXT(WEEKDAY(J19),"aaa"))</f>
        <v/>
      </c>
      <c r="L19" s="19" t="n"/>
      <c r="M19" s="179" t="n"/>
      <c r="N19" s="68">
        <f>IF(M19&gt;$M$6,"×","")</f>
        <v/>
      </c>
      <c r="O19" s="21" t="n"/>
      <c r="P19" s="179" t="n"/>
      <c r="Q19" s="70">
        <f>IF(P19&gt;$M$6,"×","")</f>
        <v/>
      </c>
    </row>
    <row r="20" ht="21" customHeight="1" s="159">
      <c r="A20" s="20" t="n"/>
      <c r="B20" s="178">
        <f>IF(B19=$E$57,"-",IF(B19="-","-",B19+1))</f>
        <v/>
      </c>
      <c r="C20" s="91">
        <f>IF(B20="-","-",TEXT(WEEKDAY(B20),"aaa"))</f>
        <v/>
      </c>
      <c r="D20" s="19" t="n"/>
      <c r="E20" s="179" t="n"/>
      <c r="F20" s="68">
        <f>IF(E20&gt;$M$6,"×","")</f>
        <v/>
      </c>
      <c r="G20" s="21" t="n"/>
      <c r="H20" s="179" t="n"/>
      <c r="I20" s="71">
        <f>IF(H20&gt;$M$6,"×","")</f>
        <v/>
      </c>
      <c r="J20" s="201">
        <f>IF(J19=$E$57,"-",IF(J19="-","-",J19+1))</f>
        <v/>
      </c>
      <c r="K20" s="87">
        <f>IF(J20="-","-",TEXT(WEEKDAY(J20),"aaa"))</f>
        <v/>
      </c>
      <c r="L20" s="19" t="n"/>
      <c r="M20" s="179" t="n"/>
      <c r="N20" s="68">
        <f>IF(M20&gt;$M$6,"×","")</f>
        <v/>
      </c>
      <c r="O20" s="21" t="n"/>
      <c r="P20" s="179" t="n"/>
      <c r="Q20" s="70">
        <f>IF(P20&gt;$M$6,"×","")</f>
        <v/>
      </c>
    </row>
    <row r="21" ht="21" customHeight="1" s="159">
      <c r="A21" s="20" t="n"/>
      <c r="B21" s="178">
        <f>IF(B20=$E$57,"-",IF(B20="-","-",B20+1))</f>
        <v/>
      </c>
      <c r="C21" s="91">
        <f>IF(B21="-","-",TEXT(WEEKDAY(B21),"aaa"))</f>
        <v/>
      </c>
      <c r="D21" s="19" t="n"/>
      <c r="E21" s="179" t="n"/>
      <c r="F21" s="68">
        <f>IF(E21&gt;$M$6,"×","")</f>
        <v/>
      </c>
      <c r="G21" s="21" t="n"/>
      <c r="H21" s="179" t="n"/>
      <c r="I21" s="71">
        <f>IF(H21&gt;$M$6,"×","")</f>
        <v/>
      </c>
      <c r="J21" s="201">
        <f>IF(J20=$E$57,"-",IF(J20="-","-",J20+1))</f>
        <v/>
      </c>
      <c r="K21" s="87">
        <f>IF(J21="-","-",TEXT(WEEKDAY(J21),"aaa"))</f>
        <v/>
      </c>
      <c r="L21" s="19" t="n"/>
      <c r="M21" s="179" t="n"/>
      <c r="N21" s="68">
        <f>IF(M21&gt;$M$6,"×","")</f>
        <v/>
      </c>
      <c r="O21" s="21" t="n"/>
      <c r="P21" s="179" t="n"/>
      <c r="Q21" s="70">
        <f>IF(P21&gt;$M$6,"×","")</f>
        <v/>
      </c>
    </row>
    <row r="22" ht="21" customHeight="1" s="159">
      <c r="A22" s="20" t="n"/>
      <c r="B22" s="178">
        <f>IF(B21=$E$57,"-",IF(B21="-","-",B21+1))</f>
        <v/>
      </c>
      <c r="C22" s="91">
        <f>IF(B22="-","-",TEXT(WEEKDAY(B22),"aaa"))</f>
        <v/>
      </c>
      <c r="D22" s="19" t="n"/>
      <c r="E22" s="179" t="n"/>
      <c r="F22" s="68">
        <f>IF(E22&gt;$M$6,"×","")</f>
        <v/>
      </c>
      <c r="G22" s="21" t="n"/>
      <c r="H22" s="179" t="n"/>
      <c r="I22" s="71">
        <f>IF(H22&gt;$M$6,"×","")</f>
        <v/>
      </c>
      <c r="J22" s="201">
        <f>IF(J21=$E$57,"-",IF(J21="-","-",J21+1))</f>
        <v/>
      </c>
      <c r="K22" s="87">
        <f>IF(J22="-","-",TEXT(WEEKDAY(J22),"aaa"))</f>
        <v/>
      </c>
      <c r="L22" s="19" t="n"/>
      <c r="M22" s="179" t="n"/>
      <c r="N22" s="68">
        <f>IF(M22&gt;$M$6,"×","")</f>
        <v/>
      </c>
      <c r="O22" s="21" t="n"/>
      <c r="P22" s="179" t="n"/>
      <c r="Q22" s="70">
        <f>IF(P22&gt;$M$6,"×","")</f>
        <v/>
      </c>
    </row>
    <row r="23" ht="21" customHeight="1" s="159">
      <c r="A23" s="20" t="n"/>
      <c r="B23" s="178">
        <f>IF(B22=$E$57,"-",IF(B22="-","-",B22+1))</f>
        <v/>
      </c>
      <c r="C23" s="91">
        <f>IF(B23="-","-",TEXT(WEEKDAY(B23),"aaa"))</f>
        <v/>
      </c>
      <c r="D23" s="19" t="n"/>
      <c r="E23" s="179" t="n"/>
      <c r="F23" s="68">
        <f>IF(E23&gt;$M$6,"×","")</f>
        <v/>
      </c>
      <c r="G23" s="21" t="n"/>
      <c r="H23" s="179" t="n"/>
      <c r="I23" s="71">
        <f>IF(H23&gt;$M$6,"×","")</f>
        <v/>
      </c>
      <c r="J23" s="201">
        <f>IF(J22=$E$57,"-",IF(J22="-","-",J22+1))</f>
        <v/>
      </c>
      <c r="K23" s="87">
        <f>IF(J23="-","-",TEXT(WEEKDAY(J23),"aaa"))</f>
        <v/>
      </c>
      <c r="L23" s="19"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21" t="n"/>
      <c r="H24" s="179" t="n"/>
      <c r="I24" s="71">
        <f>IF(H24&gt;$M$6,"×","")</f>
        <v/>
      </c>
      <c r="J24" s="201">
        <f>IF(J23=$E$57,"-",IF(J23="-","-",J23+1))</f>
        <v/>
      </c>
      <c r="K24" s="87">
        <f>IF(J24="-","-",TEXT(WEEKDAY(J24),"aaa"))</f>
        <v/>
      </c>
      <c r="L24" s="19"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21" t="n"/>
      <c r="H25" s="179" t="n"/>
      <c r="I25" s="71">
        <f>IF(H25&gt;$M$6,"×","")</f>
        <v/>
      </c>
      <c r="J25" s="201">
        <f>IF(J24=$E$57,"-",IF(J24="-","-",J24+1))</f>
        <v/>
      </c>
      <c r="K25" s="87">
        <f>IF(J25="-","-",TEXT(WEEKDAY(J25),"aaa"))</f>
        <v/>
      </c>
      <c r="L25" s="19" t="n"/>
      <c r="M25" s="179" t="n"/>
      <c r="N25" s="68">
        <f>IF(M25&gt;$M$6,"×","")</f>
        <v/>
      </c>
      <c r="O25" s="21" t="n"/>
      <c r="P25" s="179" t="n"/>
      <c r="Q25" s="70">
        <f>IF(P25&gt;$M$6,"×","")</f>
        <v/>
      </c>
    </row>
    <row r="26" ht="21" customHeight="1" s="159">
      <c r="A26" s="20" t="n"/>
      <c r="B26" s="178">
        <f>IF(B25=$E$57,"-",IF(B25="-","-",B25+1))</f>
        <v/>
      </c>
      <c r="C26" s="91">
        <f>IF(B26="-","-",TEXT(WEEKDAY(B26),"aaa"))</f>
        <v/>
      </c>
      <c r="D26" s="19" t="n"/>
      <c r="E26" s="179" t="n"/>
      <c r="F26" s="68">
        <f>IF(E26&gt;$M$6,"×","")</f>
        <v/>
      </c>
      <c r="G26" s="21" t="n"/>
      <c r="H26" s="179" t="n"/>
      <c r="I26" s="71">
        <f>IF(H26&gt;$M$6,"×","")</f>
        <v/>
      </c>
      <c r="J26" s="201">
        <f>IF(J25=$E$57,"-",IF(J25="-","-",J25+1))</f>
        <v/>
      </c>
      <c r="K26" s="87">
        <f>IF(J26="-","-",TEXT(WEEKDAY(J26),"aaa"))</f>
        <v/>
      </c>
      <c r="L26" s="19" t="n"/>
      <c r="M26" s="179" t="n"/>
      <c r="N26" s="68">
        <f>IF(M26&gt;$M$6,"×","")</f>
        <v/>
      </c>
      <c r="O26" s="21" t="n"/>
      <c r="P26" s="179" t="n"/>
      <c r="Q26" s="70">
        <f>IF(P26&gt;$M$6,"×","")</f>
        <v/>
      </c>
    </row>
    <row r="27" ht="21" customHeight="1" s="159" thickBot="1">
      <c r="A27" s="20" t="n"/>
      <c r="B27" s="181">
        <f>IF(B26=$E$57,"-",IF(B26="-","-",B26+1))</f>
        <v/>
      </c>
      <c r="C27" s="93">
        <f>IF(B27="-","-",TEXT(WEEKDAY(B27),"aaa"))</f>
        <v/>
      </c>
      <c r="D27" s="22" t="n"/>
      <c r="E27" s="183" t="n"/>
      <c r="F27" s="69">
        <f>IF(E27&gt;$M$6,"×","")</f>
        <v/>
      </c>
      <c r="G27" s="22" t="n"/>
      <c r="H27" s="183" t="n"/>
      <c r="I27" s="72">
        <f>IF(H27&gt;$M$6,"×","")</f>
        <v/>
      </c>
      <c r="J27" s="201">
        <f>IF(J26=$E$57,"-",IF(J26="-","-",J26+1))</f>
        <v/>
      </c>
      <c r="K27" s="87">
        <f>IF(J27="-","-",TEXT(WEEKDAY(J27),"aaa"))</f>
        <v/>
      </c>
      <c r="L27" s="19" t="n"/>
      <c r="M27" s="179" t="n"/>
      <c r="N27" s="68">
        <f>IF(M27&gt;$M$6,"×","")</f>
        <v/>
      </c>
      <c r="O27" s="21"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inlineStr">
        <is>
          <t>【備考】</t>
        </is>
      </c>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inlineStr">
        <is>
          <t>・本様式は、あくまで「参考様式」です。
　適切な利用確認がなされている限り、各所属において任意の様式を使用していただいて構いません。</t>
        </is>
      </c>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O34:R34"/>
    <mergeCell ref="C11:C12"/>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 operator="containsText" dxfId="2" stopIfTrue="1" text="×">
      <formula>NOT(ISERROR(SEARCH("×",F13)))</formula>
    </cfRule>
  </conditionalFormatting>
  <conditionalFormatting sqref="J33:L33">
    <cfRule type="cellIs" priority="2" operator="greaterThan" dxfId="1" stopIfTrue="1">
      <formula>$M$7</formula>
    </cfRule>
  </conditionalFormatting>
  <conditionalFormatting sqref="D13:D27 G13:G27 L13:L28 O13:O28">
    <cfRule type="cellIs" priority="1" operator="notEqual" dxfId="0">
      <formula>"〇"</formula>
    </cfRule>
  </conditionalFormatting>
  <dataValidations count="3">
    <dataValidation sqref="B5:B6" showDropDown="0" showInputMessage="1" showErrorMessage="1" allowBlank="1" type="list">
      <formula1>$B$49:$B$55</formula1>
    </dataValidation>
    <dataValidation sqref="D5:D6" showDropDown="0" showInputMessage="1" showErrorMessage="1" allowBlank="1" type="list">
      <formula1>$C$49:$C$61</formula1>
    </dataValidation>
    <dataValidation sqref="D13:D27 G13:G27 L13:L28 O13:O28" showDropDown="0" showInputMessage="1" showErrorMessage="1" allowBlank="1" type="list">
      <formula1>$D$49:$D$55</formula1>
    </dataValidation>
  </dataValidations>
  <pageMargins left="0.7086614173228347" right="0.7086614173228347" top="0.7480314960629921" bottom="0.7480314960629921" header="0.3149606299212598" footer="0.3149606299212598"/>
  <pageSetup orientation="portrait" paperSize="9" scale="74" fitToHeight="0" cellComments="a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2008-06-30T23:07:51Z</dcterms:created>
  <dcterms:modified xsi:type="dcterms:W3CDTF">2025-06-17T01:27:44Z</dcterms:modified>
  <cp:lastModifiedBy>hith_伊藤大貴</cp:lastModifiedBy>
  <cp:lastPrinted>2024-03-08T05:06:04Z</cp:lastPrinted>
</cp:coreProperties>
</file>